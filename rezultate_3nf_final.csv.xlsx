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CENTA\"/>
    </mc:Choice>
  </mc:AlternateContent>
  <xr:revisionPtr revIDLastSave="0" documentId="13_ncr:9_{414FF324-AC17-4613-9691-51307D145BB4}" xr6:coauthVersionLast="47" xr6:coauthVersionMax="47" xr10:uidLastSave="{00000000-0000-0000-0000-000000000000}"/>
  <bookViews>
    <workbookView xWindow="-110" yWindow="-110" windowWidth="19420" windowHeight="11500" activeTab="1" xr2:uid="{3D63430D-796C-4E4E-A5CD-BE48760ED2EC}"/>
  </bookViews>
  <sheets>
    <sheet name="rezultate_3nf_final" sheetId="1" r:id="rId1"/>
    <sheet name="Foaie2" sheetId="3" r:id="rId2"/>
  </sheets>
  <definedNames>
    <definedName name="_xlnm._FilterDatabase" localSheetId="1" hidden="1">Foaie2!$A$1:$D$1</definedName>
  </definedNames>
  <calcPr calcId="0"/>
</workbook>
</file>

<file path=xl/calcChain.xml><?xml version="1.0" encoding="utf-8"?>
<calcChain xmlns="http://schemas.openxmlformats.org/spreadsheetml/2006/main">
  <c r="I35" i="3" l="1"/>
  <c r="J35" i="3"/>
  <c r="H35" i="3"/>
  <c r="I34" i="3"/>
  <c r="J34" i="3"/>
  <c r="H34" i="3"/>
  <c r="I33" i="3"/>
  <c r="J33" i="3"/>
  <c r="H33" i="3"/>
  <c r="I28" i="3"/>
  <c r="J28" i="3"/>
  <c r="H28" i="3"/>
  <c r="I27" i="3"/>
  <c r="J27" i="3"/>
  <c r="H27" i="3"/>
  <c r="I26" i="3"/>
  <c r="J26" i="3"/>
  <c r="H26" i="3"/>
  <c r="I25" i="3"/>
  <c r="J25" i="3"/>
  <c r="H25" i="3"/>
  <c r="I24" i="3"/>
  <c r="J24" i="3"/>
  <c r="H24" i="3"/>
  <c r="I19" i="3"/>
  <c r="J19" i="3"/>
  <c r="H19" i="3"/>
  <c r="I18" i="3"/>
  <c r="J18" i="3"/>
  <c r="H18" i="3"/>
  <c r="I17" i="3"/>
  <c r="J17" i="3"/>
  <c r="H17" i="3"/>
  <c r="I12" i="3"/>
  <c r="J12" i="3"/>
  <c r="H12" i="3"/>
  <c r="I11" i="3"/>
  <c r="J11" i="3"/>
  <c r="H11" i="3"/>
  <c r="I10" i="3"/>
  <c r="J10" i="3"/>
  <c r="H10" i="3"/>
  <c r="I9" i="3"/>
  <c r="J9" i="3"/>
  <c r="H9" i="3"/>
  <c r="I8" i="3"/>
  <c r="J8" i="3"/>
  <c r="H8" i="3"/>
  <c r="I7" i="3"/>
  <c r="J7" i="3"/>
  <c r="H7" i="3"/>
  <c r="I6" i="3"/>
  <c r="J6" i="3"/>
  <c r="H6" i="3"/>
  <c r="B152" i="3"/>
  <c r="C153" i="3"/>
  <c r="D153" i="3"/>
  <c r="B153" i="3"/>
  <c r="C152" i="3"/>
  <c r="D152" i="3"/>
</calcChain>
</file>

<file path=xl/sharedStrings.xml><?xml version="1.0" encoding="utf-8"?>
<sst xmlns="http://schemas.openxmlformats.org/spreadsheetml/2006/main" count="823" uniqueCount="361">
  <si>
    <t>timeStamp</t>
  </si>
  <si>
    <t>elapsed</t>
  </si>
  <si>
    <t>label</t>
  </si>
  <si>
    <t>responseCode</t>
  </si>
  <si>
    <t>responseMessage</t>
  </si>
  <si>
    <t>threadName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</si>
  <si>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</si>
  <si>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</si>
  <si>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</si>
  <si>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</si>
  <si>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</si>
  <si>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</si>
  <si>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</si>
  <si>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</si>
  <si>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</si>
  <si>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</si>
  <si>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resultset_#</t>
  </si>
  <si>
    <t>SELECT c.c_name, c.c_phone, o.o_orderdate, o.o_totalprice FROM customer c INNER JOIN orders o ON c.c_custkey = o.o_custkey WHERE o.o_orderpriority = '1-URGENT' ORDER BY o.o_orderdate DESC;</t>
  </si>
  <si>
    <t>OK</t>
  </si>
  <si>
    <t>Thread 1-1</t>
  </si>
  <si>
    <t>null</t>
  </si>
  <si>
    <t>SELECT c.c_name, c.c_acctbal, o.o_orderkey, o.o_totalprice, o.o_orderdate FROM customer c INNER JOIN orders o ON c.c_custkey = o.o_custkey WHERE o.o_orderstatus = 'F' AND o.o_totalprice &gt; 100000 ORDER BY o.o_totalprice DESC;</t>
  </si>
  <si>
    <t>SELECT c.c_name, c.c_acctbal, o.o_orderkey, o.o_orderstatus, o.o_orderdate FROM customer c INNER JOIN orders o ON c.c_custkey = o.o_custkey WHERE c.c_acctbal &lt; 0 AND o.o_orderstatus = 'O' ORDER BY c.c_acctbal ASC;</t>
  </si>
  <si>
    <t>SELECT c.c_name, c.c_mktsegment, o.o_orderkey, o.o_orderdate, o.o_totalprice FROM customer c INNER JOIN orders o ON c.c_custkey = o.o_custkey WHERE o.o_orderpriority = '5-LOW' AND o.o_orderdate &gt; '1997-01-01' ORDER BY o.o_orderdate DESC;</t>
  </si>
  <si>
    <t>SELECT c.c_name, c.c_mktsegment, o.o_orderkey, o.o_totalprice, o.o_orderpriority FROM customer c INNER JOIN orders o ON c.c_custkey = o.o_custkey WHERE c.c_mktsegment = 'AUTOMOBILE' AND o.o_totalprice &gt; 200000 ORDER BY o.o_totalprice DESC;</t>
  </si>
  <si>
    <t>SELECT c.c_name, c.c_phone, o.o_orderkey, o.o_orderdate, o.o_totalprice FROM customer c INNER JOIN orders o ON c.c_custkey = o.o_custkey WHERE o.o_orderstatus = 'P' AND o.o_shippriority = 0 ORDER BY o.o_orderdate ASC;</t>
  </si>
  <si>
    <t>SELECT c.c_name, c.c_mktsegment, o.o_orderkey, o.o_orderpriority, o.o_totalprice, o.o_orderdate FROM customer c INNER JOIN orders o ON c.c_custkey = o.o_custkey WHERE c.c_mktsegment = 'BUILDING' AND o.o_orderpriority = '2-HIGH' AND o.o_orderstatus = 'F' ORDER BY o.o_orderdate DESC;</t>
  </si>
  <si>
    <t>SELECT c.c_name, c.c_acctbal, o.o_orderkey, o.o_orderdate, o.o_totalprice FROM customer c INNER JOIN orders o ON c.c_custkey = o.o_custkey WHERE o.o_orderdate BETWEEN '1995-01-01' AND '1995-12-31' ORDER BY o.o_orderdate ASC, o.o_totalprice DESC;</t>
  </si>
  <si>
    <t>SELECT c.c_name, c.c_acctbal, c.c_mktsegment, o.o_orderkey, o.o_totalprice, o.o_orderpriority FROM customer c INNER JOIN orders o ON c.c_custkey = o.o_custkey WHERE c.c_acctbal &gt; 8000 AND o.o_orderpriority = '3-MEDIUM' ORDER BY c.c_acctbal DESC;</t>
  </si>
  <si>
    <t>SELECT c.c_name, c.c_mktsegment, o.o_orderkey, o.o_totalprice, o.o_orderdate, o.o_orderstatus FROM customer c INNER JOIN orders o ON c.c_custkey = o.o_custkey WHERE c.c_mktsegment = 'HOUSEHOLD' AND o.o_orderstatus = 'F' AND o.o_totalprice &lt; 20000 ORDER BY o.o_totalprice ASC;</t>
  </si>
  <si>
    <t>SELECT EXTRACT (YEAR FROM o.o_orderdate) AS an_comanda, SUM(l.l_extendedprice) AS total_facturat FROM orders o INNER JOIN lineitem l ON o.o_orderkey = l.l_orderkey GROUP BY EXTRACT (YEAR FROM o.o_orderdate) ORDER BY an_comanda ASC;</t>
  </si>
  <si>
    <t>SELECT l.l_shipmode, SUM(l.l_quantity) AS total_cantitate FROM orders o INNER JOIN lineitem l ON o.o_orderkey = l.l_orderkey GROUP BY l.l_shipmode ORDER BY total_cantitate DESC;</t>
  </si>
  <si>
    <t>SELECT o.o_orderpriority, SUM(l.l_discount) AS total_discount FROM orders o INNER JOIN lineitem l ON o.o_orderkey = l.l_orderkey GROUP BY o.o_orderpriority ORDER BY total_discount DESC;</t>
  </si>
  <si>
    <t>SELECT l.l_linestatus, SUM(l.l_extendedprice * (1 - l.l_discount)) AS valoare_neta FROM orders o INNER JOIN lineitem l ON o.o_orderkey = l.l_orderkey GROUP BY l.l_linestatus ORDER BY valoare_neta DESC;</t>
  </si>
  <si>
    <t>SELECT o.o_orderstatus, SUM(l.l_tax) AS total_taxe FROM orders o INNER JOIN lineitem l ON o.o_orderkey = l.l_orderkey GROUP BY o.o_orderstatus ORDER BY total_taxe DESC;</t>
  </si>
  <si>
    <t>SELECT l.l_shipinstruct, SUM(l.l_quantity) AS total_cantitate FROM orders o INNER JOIN lineitem l ON o.o_orderkey = l.l_orderkey GROUP BY l.l_shipinstruct ORDER BY total_cantitate DESC;</t>
  </si>
  <si>
    <t>SELECT EXTRACT (YEAR FROM l.l_shipdate) AS an_expediere, EXTRACT (MONTH FROM l.l_shipdate) AS luna_expediere, SUM(l.l_extendedprice) AS total_facturat FROM orders o INNER JOIN lineitem l ON o.o_orderkey = l.l_orderkey GROUP BY EXTRACT (YEAR FROM l.l_shipdate), EXTRACT (MONTH FROM l.l_shipdate) ORDER BY an_expediere ASC, luna_expediere ASC;</t>
  </si>
  <si>
    <t>SELECT o.o_orderpriority, SUM(o.o_totalprice) AS total_valoare_finalizata FROM orders o INNER JOIN lineitem l ON o.o_orderkey = l.l_orderkey WHERE o.o_orderstatus = 'F' GROUP BY o.o_orderpriority ORDER BY total_valoare_finalizata DESC;</t>
  </si>
  <si>
    <t>SELECT EXTRACT (YEAR FROM o.o_orderdate) AS an_comanda, l.l_shipmode, SUM(l.l_extendedprice) AS total_facturat FROM orders o INNER JOIN lineitem l ON o.o_orderkey = l.l_orderkey GROUP BY EXTRACT (YEAR FROM o.o_orderdate), l.l_shipmode ORDER BY an_comanda ASC, total_facturat DESC;</t>
  </si>
  <si>
    <t>SELECT l.l_shipmode, l.l_linestatus, SUM(l.l_discount) AS total_discount FROM orders o INNER JOIN lineitem l ON o.o_orderkey = l.l_orderkey GROUP BY l.l_shipmode, l.l_linestatus ORDER BY l.l_shipmode ASC, total_discount DESC;</t>
  </si>
  <si>
    <t>SELECT EXTRACT (YEAR FROM o.o_orderdate) AS an_comanda, COUNT(DISTINCT o.o_orderkey) AS nr_comenzi FROM orders o INNER JOIN lineitem l ON o.o_orderkey = l.l_orderkey GROUP BY EXTRACT (YEAR FROM o.o_orderdate) ORDER BY an_comanda ASC;</t>
  </si>
  <si>
    <t>SELECT l.l_shipmode, COUNT(*) AS nr_linii FROM orders o INNER JOIN lineitem l ON o.o_orderkey = l.l_orderkey GROUP BY l.l_shipmode ORDER BY nr_linii DESC;</t>
  </si>
  <si>
    <t>SELECT o.o_orderstatus, COUNT(DISTINCT o.o_orderkey) AS nr_comenzi FROM orders o INNER JOIN lineitem l ON o.o_orderkey = l.l_orderkey GROUP BY o.o_orderstatus ORDER BY nr_comenzi DESC;</t>
  </si>
  <si>
    <t>SELECT o.o_orderpriority, COUNT(*) AS nr_linii FROM orders o INNER JOIN lineitem l ON o.o_orderkey = l.l_orderkey GROUP BY o.o_orderpriority ORDER BY nr_linii DESC;</t>
  </si>
  <si>
    <t>SELECT l.l_linestatus, COUNT(*) AS nr_linii FROM orders o INNER JOIN lineitem l ON o.o_orderkey = l.l_orderkey GROUP BY l.l_linestatus;</t>
  </si>
  <si>
    <t>SELECT l.l_shipinstruct, COUNT(DISTINCT o.o_orderkey) AS nr_comenzi FROM orders o INNER JOIN lineitem l ON o.o_orderkey = l.l_orderkey GROUP BY l.l_shipinstruct ORDER BY nr_comenzi DESC;</t>
  </si>
  <si>
    <t>SELECT EXTRACT (MONTH FROM l.l_shipdate) AS luna_expediere, COUNT(*) AS nr_linii FROM orders o INNER JOIN lineitem l ON o.o_orderkey = l.l_orderkey GROUP BY EXTRACT (MONTH FROM l.l_shipdate) ORDER BY luna_expediere ASC;</t>
  </si>
  <si>
    <t>SELECT EXTRACT (YEAR FROM o.o_orderdate) AS an_comanda, o.o_orderpriority, COUNT(DISTINCT o.o_orderkey) AS nr_comenzi FROM orders o JOIN lineitem l ON o.o_orderkey = l.l_orderkey GROUP BY EXTRACT (YEAR FROM o.o_orderdate), o.o_orderpriority ORDER BY an_comanda ASC, nr_comenzi DESC;</t>
  </si>
  <si>
    <t>SELECT l.l_shipmode, l.l_linestatus, COUNT(*) AS nr_linii FROM orders o INNER JOIN lineitem l ON o.o_orderkey = l.l_orderkey GROUP BY l.l_shipmode, l.l_linestatus ORDER BY l.l_shipmode ASC, nr_linii DESC;</t>
  </si>
  <si>
    <t>SELECT o.o_orderstatus, EXTRACT (YEAR FROM l.l_shipdate) AS an_expediere, COUNT(*) AS nr_linii FROM orders o INNER JOIN lineitem l ON o.o_orderkey = l.l_orderkey GROUP BY o.o_orderstatus, EXTRACT (YEAR FROM l.l_shipdate) ORDER BY o.o_orderstatus ASC, an_expediere ASC;</t>
  </si>
  <si>
    <t>SELECT s.s_name, s.s_nationkey, SUM(l.l_extendedprice) AS total_facturat FROM supplier s INNER JOIN lineitem l ON s.s_suppkey = l.l_suppkey GROUP BY s.s_suppkey, s.s_name, s.s_nationkey HAVING SUM(l.l_extendedprice) &gt; 500000 ORDER BY total_facturat DESC;</t>
  </si>
  <si>
    <t>SELECT s.s_name, SUM(l.l_quantity) AS total_cantitate FROM supplier s INNER JOIN lineitem l ON s.s_suppkey = l.l_suppkey GROUP BY s.s_suppkey, s.s_name HAVING SUM(l.l_quantity) &lt; 15000 ORDER BY total_cantitate ASC;</t>
  </si>
  <si>
    <t>SELECT s.s_name, MIN(l.l_extendedprice) AS pret_minim_linie FROM supplier s INNER JOIN lineitem l ON s.s_suppkey = l.l_suppkey GROUP BY s.s_suppkey, s.s_name HAVING MIN(l.l_extendedprice) &lt; 2000 ORDER BY pret_minim_linie ASC;</t>
  </si>
  <si>
    <t>SELECT s.s_name, MAX(l.l_extendedprice) AS pret_maxim_linie FROM supplier s INNER JOIN lineitem l ON s.s_suppkey = l.l_suppkey GROUP BY s.s_suppkey, s.s_name HAVING MAX(l.l_extendedprice) &gt; 100000 ORDER BY pret_maxim_linie DESC;</t>
  </si>
  <si>
    <t>SELECT s.s_name, SUM(l.l_discount) AS total_discount FROM supplier s INNER JOIN lineitem l ON s.s_suppkey = l.l_suppkey GROUP BY s.s_suppkey, s.s_name HAVING SUM(l.l_discount) &gt; 10 ORDER BY total_discount DESC;</t>
  </si>
  <si>
    <t>SELECT s.s_name, MAX(l.l_tax) AS taxa_maxima FROM supplier s INNER JOIN lineitem l ON s.s_suppkey = l.l_suppkey GROUP BY s.s_suppkey, s.s_name HAVING MAX(l.l_tax) &gt;= 0.08 ORDER BY taxa_maxima DESC;</t>
  </si>
  <si>
    <t>SELECT s.s_name, MIN(l.l_quantity) AS cantitate_minima FROM supplier s INNER JOIN lineitem l ON s.s_suppkey = l.l_suppkey GROUP BY s.s_suppkey, s.s_name HAVING MIN(l.l_quantity) &lt; 2 ORDER BY cantitate_minima ASC;</t>
  </si>
  <si>
    <t>SELECT s.s_name, SUM(l.l_extendedprice * (1 - l.l_discount)) AS valoare_neta_totala FROM supplier s INNER JOIN lineitem l ON s.s_suppkey = l.l_suppkey GROUP BY s.s_suppkey, s.s_name HAVING SUM(l.l_extendedprice * (1 - l.l_discount)) &gt; 600000 ORDER BY valoare_neta_totala DESC;</t>
  </si>
  <si>
    <t>SELECT s.s_name, MAX(l.l_quantity) AS cantitate_maxima FROM supplier s INNER JOIN lineitem l ON s.s_suppkey = l.l_suppkey GROUP BY s.s_suppkey, s.s_name HAVING MAX(l.l_quantity) &gt; 45 ORDER BY cantitate_maxima DESC;</t>
  </si>
  <si>
    <t>SELECT s.s_name, SUM(l.l_tax) AS total_taxe FROM supplier s INNER JOIN lineitem l ON s.s_suppkey = l.l_suppkey GROUP BY s.s_suppkey, s.s_name HAVING SUM(l.l_tax) &lt; 50 ORDER BY total_taxe ASC;</t>
  </si>
  <si>
    <t>SELECT s.s_name, MAX(l.l_extendedprice) AS pret_maxim_linie FROM supplier s INNER JOIN lineitem l ON s.s_suppkey = l.l_suppkey GROUP BY s.s_suppkey, s.s_name HAVING MAX(l.l_extendedprice) &lt; 90000 ORDER BY pret_maxim_linie DESC;</t>
  </si>
  <si>
    <t>SELECT s.s_name, MIN(l.l_discount) AS discount_minim, SUM(l.l_extendedprice) AS total_facturat FROM supplier s INNER JOIN lineitem l ON s.s_suppkey = l.l_suppkey GROUP BY s.s_suppkey, s.s_name HAVING MIN(l.l_discount) = 0 ORDER BY total_facturat DESC;</t>
  </si>
  <si>
    <t>SELECT s.s_name, SUM(l.l_quantity) AS total_cantitate FROM supplier s INNER JOIN lineitem l ON s.s_suppkey = l.l_suppkey GROUP BY s.s_suppkey, s.s_name HAVING SUM(l.l_quantity) BETWEEN 10000 AND 20000 ORDER BY total_cantitate ASC;</t>
  </si>
  <si>
    <t>SELECT s.s_name, MIN(l.l_extendedprice), MAX(l.l_extendedprice), MAX(l.l_extendedprice) - MIN(l.l_extendedprice) AS spread_pret FROM supplier s INNER JOIN lineitem l ON s.s_suppkey = l.l_suppkey GROUP BY s.s_suppkey, s.s_name HAVING MAX(l.l_extendedprice) - MIN(l.l_extendedprice) &gt; 90000 ORDER BY spread_pret DESC;</t>
  </si>
  <si>
    <t>SELECT s.s_name, SUM(l.l_extendedprice) AS total_returnat FROM supplier s INNER JOIN lineitem l ON s.s_suppkey = l.l_suppkey WHERE l.l_returnflag = 'R' GROUP BY s.s_suppkey, s.s_name HAVING SUM(l.l_extendedprice) &gt; 200000 ORDER BY total_returnat DESC;</t>
  </si>
  <si>
    <t>SELECT s.s_name, MAX(l.l_quantity) AS cantitate_maxima_air FROM supplier s INNER JOIN lineitem l ON s.s_suppkey = l.l_suppkey WHERE l.l_shipmode = 'AIR' GROUP BY s.s_suppkey, s.s_name HAVING MAX(l.l_quantity) &gt; 40 ORDER BY cantitate_maxima_air DESC;</t>
  </si>
  <si>
    <t>SELECT s.s_name, MIN(l.l_extendedprice * (1 - l.l_discount)) AS valoare_neta_minima FROM supplier s INNER JOIN lineitem l ON s.s_suppkey = l.l_suppkey GROUP BY s.s_suppkey, s.s_name HAVING MIN(l.l_extendedprice * (1 - l.l_discount)) &lt; 1000 ORDER BY valoare_neta_minima ASC;</t>
  </si>
  <si>
    <t>SELECT s.s_name, SUM(l.l_tax) AS total_taxe_finalizate FROM supplier s INNER JOIN lineitem l ON s.s_suppkey = l.l_suppkey WHERE l.l_linestatus = 'F' GROUP BY s.s_suppkey, s.s_name HAVING SUM(l.l_tax) &gt; 10 ORDER BY total_taxe_finalizate DESC;</t>
  </si>
  <si>
    <t>SELECT s.s_name, MAX(l.l_discount) AS discount_maxim, SUM(l.l_extendedprice) AS total_facturat FROM supplier s INNER JOIN lineitem l ON s.s_suppkey = l.l_suppkey GROUP BY s.s_suppkey, s.s_name HAVING MAX(l.l_discount) = 0.10 ORDER BY total_facturat DESC;</t>
  </si>
  <si>
    <t>SELECT s.s_name, SUM(l.l_extendedprice) AS total_facturat_truck FROM supplier s INNER JOIN lineitem l ON s.s_suppkey = l.l_suppkey WHERE l.l_shipmode = 'TRUCK' GROUP BY s.s_suppkey, s.s_name HAVING SUM(l.l_extendedprice) &gt; 300000 ORDER BY total_facturat_truck DESC;</t>
  </si>
  <si>
    <t>SELECT c.c_name, c.c_mktsegment, o.o_orderdate, o.o_orderpriority, l.l_shipmode, l.l_extendedprice FROM customer c JOIN orders o ON c.c_custkey = o.o_custkey JOIN lineitem l ON o.o_orderkey = l.l_orderkey WHERE c.c_mktsegment = 'AUTOMOBILE' AND o.o_orderpriority = '1-URGENT' AND l.l_shipmode = 'AIR' ORDER BY o.o_orderdate DESC, l.l_extendedprice DESC;</t>
  </si>
  <si>
    <t>SELECT c.c_name, c.c_acctbal, o.o_orderdate, o.o_totalprice, l.l_returnflag, l.l_extendedprice FROM customer c INNER JOIN orders o ON c.c_custkey = o.o_custkey INNER JOIN lineitem l ON o.o_orderkey = l.l_orderkey WHERE c.c_mktsegment = 'BUILDING' AND o.o_orderstatus = 'F' AND l.l_returnflag = 'R' ORDER BY o.o_totalprice DESC, o.o_orderdate ASC;</t>
  </si>
  <si>
    <t>SELECT c.c_name, c.c_phone, o.o_orderdate, o.o_orderpriority, l.l_shipmode, l.l_quantity FROM customer c INNER JOIN orders o ON c.c_custkey = o.o_custkey INNER JOIN lineitem l ON o.o_orderkey = l.l_orderkey WHERE c.c_mktsegment = 'HOUSEHOLD' AND o.o_orderdate &gt; '1997-01-01' AND l.l_shipmode = 'TRUCK' ORDER BY o.o_orderdate DESC, l.l_quantity DESC;</t>
  </si>
  <si>
    <t>SELECT c.c_name, c.c_acctbal, o.o_orderkey, o.o_orderpriority, l.l_discount, l.l_extendedprice FROM customer c INNER JOIN orders o ON c.c_custkey = o.o_custkey INNER JOIN lineitem l ON o.o_orderkey = l.l_orderkey WHERE c.c_acctbal &gt; 7000 AND o.o_orderpriority = '2-HIGH' AND l.l_discount = 0.10 ORDER BY c.c_acctbal DESC, l.l_extendedprice DESC;</t>
  </si>
  <si>
    <t>SELECT c.c_name, c.c_mktsegment, o.o_orderdate, l.l_shipdate, l.l_linestatus, l.l_extendedprice FROM customer c INNER JOIN orders o ON c.c_custkey = o.o_custkey INNER JOIN lineitem l ON o.o_orderkey = l.l_orderkey WHERE c.c_mktsegment = 'MACHINERY' AND l.l_linestatus = 'O' AND l.l_shipdate BETWEEN '1996-01-01' AND '1996-12-31' ORDER BY l.l_shipdate ASC, l.l_extendedprice DESC;</t>
  </si>
  <si>
    <t>SELECT c.c_name, c.c_mktsegment, o.o_orderpriority, o.o_orderdate, l.l_shipmode, l.l_extendedprice FROM customer c INNER JOIN orders o ON c.c_custkey = o.o_custkey INNER JOIN lineitem l ON o.o_orderkey = l.l_orderkey WHERE o.o_orderpriority IN ('1-URGENT', '2-HIGH') AND l.l_shipmode = 'RAIL' ORDER BY o.o_orderpriority ASC, o.o_orderdate DESC;</t>
  </si>
  <si>
    <t>SELECT c.c_name, c.c_mktsegment, o.o_orderdate, o.o_totalprice, l.l_quantity, l.l_shipmode FROM customer c INNER JOIN orders o ON c.c_custkey = o.o_custkey INNER JOIN lineitem l ON o.o_orderkey = l.l_orderkey WHERE c.c_mktsegment = 'FURNITURE' AND l.l_quantity &gt; 40 AND l.l_shipmode = 'SHIP' ORDER BY l.l_quantity DESC, o.o_totalprice DESC;</t>
  </si>
  <si>
    <t>SELECT c.c_name, c.c_acctbal, o.o_orderdate, l.l_commitdate, l.l_receiptdate, l.l_extendedprice FROM customer c INNER JOIN orders o ON c.c_custkey = o.o_custkey INNER JOIN lineitem l ON o.o_orderkey = l.l_orderkey WHERE l.l_linestatus = 'O' AND l.l_receiptdate &gt; l.l_commitdate AND c.c_acctbal &gt; 0 ORDER BY l.l_receiptdate DESC, l.l_extendedprice DESC;</t>
  </si>
  <si>
    <t>SELECT c.c_name, c.c_mktsegment, o.o_orderdate, o.o_totalprice, l.l_shipinstruct, l.l_tax FROM customer c INNER JOIN orders o ON c.c_custkey = o.o_custkey INNER JOIN lineitem l ON o.o_orderkey = l.l_orderkey WHERE c.c_mktsegment = 'AUTOMOBILE' AND l.l_shipinstruct = 'DELIVER IN PERSON' AND l.l_tax = 0.08 ORDER BY o.o_totalprice DESC, o.o_orderdate ASC;</t>
  </si>
  <si>
    <t>SELECT c.c_name, c.c_phone, o.o_totalprice, o.o_orderstatus, l.l_shipinstruct, l.l_extendedprice FROM customer c INNER JOIN orders o ON c.c_custkey = o.o_custkey INNER JOIN lineitem l ON o.o_orderkey = l.l_orderkey WHERE o.o_totalprice &gt; 150000 AND o.o_orderstatus = 'P' AND l.l_shipinstruct = 'NONE' ORDER BY o.o_totalprice DESC, l.l_extendedprice DESC;</t>
  </si>
  <si>
    <t>SELECT s.s_name, COUNT(DISTINCT p.p_partkey) AS nr_piese FROM part p INNER JOIN partsupp ps ON p.p_partkey = ps.ps_partkey INNER JOIN supplier s ON ps.ps_suppkey = s.s_suppkey GROUP BY s.s_suppkey, s.s_name ORDER BY nr_piese DESC;</t>
  </si>
  <si>
    <t>SELECT p.p_type, COUNT(DISTINCT s.s_suppkey) AS nr_furnizori FROM part p INNER JOIN partsupp ps ON p.p_partkey = ps.ps_partkey INNER JOIN supplier s ON ps.ps_suppkey = s.s_suppkey GROUP BY p.p_type ORDER BY nr_furnizori DESC;</t>
  </si>
  <si>
    <t>SELECT p.p_brand, s.s_name, COUNT(DISTINCT p.p_partkey) AS nr_piese FROM part p INNER JOIN partsupp ps ON p.p_partkey = ps.ps_partkey INNER JOIN supplier s ON ps.ps_suppkey = s.s_suppkey GROUP BY p.p_brand, s.s_suppkey, s.s_name ORDER BY p.p_brand ASC, nr_piese DESC;</t>
  </si>
  <si>
    <t>SELECT p.p_container, COUNT(*) AS nr_combinatii FROM part p INNER JOIN partsupp ps ON p.p_partkey = ps.ps_partkey INNER JOIN supplier s ON ps.ps_suppkey = s.s_suppkey GROUP BY p.p_container ORDER BY nr_combinatii DESC;</t>
  </si>
  <si>
    <t>SELECT p.p_size, COUNT(DISTINCT s.s_suppkey) AS nr_furnizori FROM part p INNER JOIN partsupp ps ON p.p_partkey = ps.ps_partkey INNER JOIN supplier s ON ps.ps_suppkey = s.s_suppkey GROUP BY p.p_size ORDER BY p.p_size ASC;</t>
  </si>
  <si>
    <t>SELECT p.p_mfgr, s.s_name, COUNT(DISTINCT p.p_partkey) AS nr_piese FROM part p INNER JOIN partsupp ps ON p.p_partkey = ps.ps_partkey INNER JOIN supplier s ON ps.ps_suppkey = s.s_suppkey GROUP BY p.p_mfgr, s.s_suppkey, s.s_name ORDER BY p.p_mfgr ASC, nr_piese DESC;</t>
  </si>
  <si>
    <t>SELECT p.p_brand, COUNT(DISTINCT s.s_suppkey) AS nr_furnizori FROM part p INNER JOIN partsupp ps ON p.p_partkey = ps.ps_partkey INNER JOIN supplier s ON ps.ps_suppkey = s.s_suppkey WHERE p.p_type LIKE '%BRASS%' GROUP BY p.p_brand ORDER BY nr_furnizori DESC;</t>
  </si>
  <si>
    <t>SELECT s.s_name, COUNT(DISTINCT p.p_partkey) AS nr_piese_mici FROM part p INNER JOIN partsupp ps ON p.p_partkey = ps.ps_partkey INNER JOIN supplier s ON ps.ps_suppkey = s.s_suppkey WHERE p.p_size &lt;= 5 GROUP BY s.s_suppkey, s.s_name ORDER BY nr_piese_mici DESC;</t>
  </si>
  <si>
    <t>SELECT n.n_name AS natiune_furnizor, COUNT(DISTINCT p.p_brand) AS nr_branduri, COUNT(DISTINCT s.s_suppkey) AS nr_furnizori FROM part p INNER JOIN partsupp ps ON p.p_partkey = ps.ps_partkey INNER JOIN supplier s ON ps.ps_suppkey = s.s_suppkey INNER JOIN nation n ON s.s_nationkey = n.n_nationkey GROUP BY n.n_name ORDER BY nr_furnizori DESC;</t>
  </si>
  <si>
    <t>SELECT r.r_name AS regiune_furnizor, p.p_container, COUNT(DISTINCT p.p_partkey) AS nr_piese FROM part p INNER JOIN partsupp ps ON p.p_partkey = ps.ps_partkey INNER JOIN supplier s ON ps.ps_suppkey = s.s_suppkey INNER JOIN nation n ON s.s_nationkey = n.n_nationkey INNER JOIN region r ON n.n_regionkey = r.r_regionkey GROUP BY r.r_name, p.p_container ORDER BY r.r_name ASC, nr_piese DESC;</t>
  </si>
  <si>
    <t>SELECT c.c_name, c.c_mktsegment, SUM(l.l_extendedprice) AS total_facturat FROM customer c INNER JOIN orders o ON c.c_custkey = o.o_custkey INNER JOIN lineitem l ON o.o_orderkey = l.l_orderkey WHERE EXTRACT (YEAR FROM o.o_orderdate) = 1996 GROUP BY c.c_custkey, c.c_name, c.c_mktsegment ORDER BY total_facturat DESC;</t>
  </si>
  <si>
    <t>SELECT c.c_mktsegment, SUM(l.l_extendedprice * (1 - l.l_discount)) AS valoare_neta_totala FROM customer c INNER JOIN orders o ON c.c_custkey = o.o_custkey INNER JOIN lineitem l ON o.o_orderkey = l.l_orderkey GROUP BY c.c_mktsegment ORDER BY valoare_neta_totala DESC;</t>
  </si>
  <si>
    <t>SELECT c.c_name, c.c_acctbal, SUM(l.l_tax) AS total_taxe FROM customer c INNER JOIN orders o ON c.c_custkey = o.o_custkey INNER JOIN lineitem l ON o.o_orderkey = l.l_orderkey WHERE c.c_mktsegment = 'AUTOMOBILE' GROUP BY c.c_custkey, c.c_name, c.c_acctbal ORDER BY total_taxe DESC;</t>
  </si>
  <si>
    <t>SELECT c.c_name, l.l_shipmode, SUM(l.l_quantity) AS total_cantitate FROM customer c INNER JOIN orders o ON c.c_custkey = o.o_custkey INNER JOIN lineitem l ON o.o_orderkey = l.l_orderkey GROUP BY c.c_custkey, c.c_name, l.l_shipmode ORDER BY c.c_name ASC, total_cantitate DESC;</t>
  </si>
  <si>
    <t>SELECT c.c_mktsegment, o.o_orderstatus, SUM(l.l_discount) AS total_discount FROM customer c INNER JOIN orders o ON c.c_custkey = o.o_custkey INNER JOIN lineitem l ON o.o_orderkey = l.l_orderkey GROUP BY c.c_mktsegment, o.o_orderstatus ORDER BY c.c_mktsegment ASC, total_discount DESC;</t>
  </si>
  <si>
    <t>SELECT c.c_name, c.c_mktsegment, SUM(l.l_extendedprice) AS total_returnat FROM customer c INNER JOIN orders o ON c.c_custkey = o.o_custkey INNER JOIN lineitem l ON o.o_orderkey = l.l_orderkey WHERE l.l_returnflag = 'R' GROUP BY c.c_custkey, c.c_name, c.c_mktsegment ORDER BY total_returnat DESC;</t>
  </si>
  <si>
    <t>SELECT c.c_name, EXTRACT (YEAR FROM o.o_orderdate) AS an_comanda, SUM(o.o_totalprice) AS total_valoare_urgenta FROM customer c INNER JOIN orders o ON c.c_custkey = o.o_custkey INNER JOIN lineitem l ON o.o_orderkey = l.l_orderkey WHERE o.o_orderpriority = '1-URGENT' GROUP BY c.c_custkey, c.c_name, EXTRACT (YEAR FROM o.o_orderdate) ORDER BY an_comanda ASC, total_valoare_urgenta DESC;</t>
  </si>
  <si>
    <t>SELECT c.c_name, l.l_shipmode, SUM(l.l_extendedprice * (1 - l.l_discount)) AS valoare_neta FROM customer c INNER JOIN orders o ON c.c_custkey = o.o_custkey INNER JOIN lineitem l ON o.o_orderkey = l.l_orderkey WHERE l.l_linestatus = 'F' GROUP BY c.c_custkey, c.c_name, l.l_shipmode ORDER BY valoare_neta DESC;</t>
  </si>
  <si>
    <t>SELECT c.c_mktsegment, EXTRACT (YEAR FROM l.l_shipdate) AS an_expediere, SUM(l.l_quantity) AS total_cantitate, SUM(l.l_extendedprice) AS total_facturat FROM customer c INNER JOIN orders o ON c.c_custkey = o.o_custkey INNER JOIN lineitem l ON o.o_orderkey = l.l_orderkey GROUP BY c.c_mktsegment, EXTRACT (YEAR FROM l.l_shipdate) ORDER BY c.c_mktsegment ASC, an_expediere ASC;</t>
  </si>
  <si>
    <t>SELECT n.n_name AS natiune_client, o.o_orderpriority, SUM(l.l_extendedprice) AS total_facturat FROM customer c INNER JOIN orders o ON c.c_custkey = o.o_custkey INNER JOIN lineitem l ON o.o_orderkey = l.l_orderkey INNER JOIN nation n ON c.c_nationkey = n.n_nationkey GROUP BY n.n_name, o.o_orderpriority ORDER BY n.n_name ASC, total_facturat DESC;</t>
  </si>
  <si>
    <t>SELECT c.c_name, SUM(l.l_extendedprice) AS total_cheltuit FROM customer c INNER JOIN orders o ON c.c_custkey = o.o_custkey INNER JOIN lineitem l ON o.o_orderkey = l.l_orderkey WHERE c.c_mktsegment = 'BUILDING' GROUP BY c.c_name HAVING SUM(l.l_extendedprice) &gt; 500000;</t>
  </si>
  <si>
    <t>SELECT s.s_name, SUM(ps.ps_availqty) AS stoc_total_cupru FROM supplier s INNER JOIN partsupp ps ON s.s_suppkey = ps.ps_suppkey INNER JOIN part p ON ps.ps_partkey = p.p_partkey WHERE p.p_type LIKE '%COPPER%' GROUP BY s.s_name HAVING SUM(ps.ps_availqty) &gt; 8000;</t>
  </si>
  <si>
    <t>SELECT c.c_name, COUNT(l.l_linenumber) AS numar_linii_comanda FROM customer c INNER JOIN orders o ON c.c_custkey = o.o_custkey INNER JOIN lineitem l ON o.o_orderkey = l.l_orderkey WHERE c.c_mktsegment = 'AUTOMOBILE' GROUP BY c.c_name HAVING COUNT(l.l_linenumber) &gt; 50;</t>
  </si>
  <si>
    <t>SELECT s.s_name, COUNT(ps.ps_partkey) AS piese_oferite FROM supplier s INNER JOIN partsupp ps ON s.s_suppkey = ps.ps_suppkey INNER JOIN part p ON ps.ps_partkey = p.p_partkey WHERE p.p_brand = 'Brand#11' GROUP BY s.s_name HAVING COUNT(ps.ps_partkey) &gt; 10;</t>
  </si>
  <si>
    <t>SELECT c.c_name, SUM(l.l_quantity) AS cantitate_totala FROM customer c INNER JOIN orders o ON c.c_custkey = o.o_custkey INNER JOIN lineitem l ON o.o_orderkey = l.l_orderkey WHERE o.o_orderstatus = 'F' GROUP BY c.c_name HAVING SUM(l.l_quantity) &gt; 1000;</t>
  </si>
  <si>
    <t>SELECT s.s_name, SUM(ps.ps_supplycost) AS cost_aprovizionare FROM supplier s INNER JOIN partsupp ps ON s.s_suppkey = ps.ps_suppkey INNER JOIN part p ON ps.ps_partkey = p.p_partkey WHERE p.p_size &lt; 10 GROUP BY s.s_name HAVING SUM(ps.ps_supplycost) &gt; 20000;</t>
  </si>
  <si>
    <t>SELECT c.c_name, SUM(l.l_tax) AS taxe_totale FROM customer c INNER JOIN orders o ON c.c_custkey = o.o_custkey INNER JOIN lineitem l ON o.o_orderkey = l.l_orderkey WHERE o.o_orderpriority = '1-URGENT' GROUP BY c.c_name HAVING SUM(l.l_tax) &gt; 10000;</t>
  </si>
  <si>
    <t>SELECT s.s_name, SUM(ps.ps_availqty) AS stoc_curent FROM supplier s INNER JOIN partsupp ps ON s.s_suppkey = ps.ps_suppkey INNER JOIN part p ON ps.ps_partkey = p.p_partkey WHERE p.p_mfgr = 'Manufacturer#1' GROUP BY s.s_name HAVING SUM(ps.ps_availqty) &gt; 15000;</t>
  </si>
  <si>
    <t>SELECT c.c_name, SUM(l.l_discount) AS discount_total FROM customer c INNER JOIN orders o ON c.c_custkey = o.o_custkey INNER JOIN lineitem l ON o.o_orderkey = l.l_orderkey WHERE l.l_returnflag = 'R' GROUP BY c.c_name HAVING SUM(l.l_discount) &gt; 500;</t>
  </si>
  <si>
    <t>SELECT c.c_name, o.o_orderdate, COUNT(l.l_linenumber) AS expedieri_aer FROM customer c INNER JOIN orders o ON c.c_custkey = o.o_custkey INNER JOIN lineitem l ON o.o_orderkey = l.l_orderkey WHERE l.l_shipmode = 'AIR' GROUP BY c.c_name, o.o_orderdate HAVING COUNT(l.l_linenumber) &gt; 30;</t>
  </si>
  <si>
    <t>SELECT c.c_name, MAX(l.l_extendedprice) AS pret_maxim_linie FROM customer c INNER JOIN orders o ON c.c_custkey = o.o_custkey INNER JOIN lineitem l ON o.o_orderkey = l.l_orderkey WHERE c.c_mktsegment = 'MACHINERY' GROUP BY c.c_name ORDER BY pret_maxim_linie DESC;</t>
  </si>
  <si>
    <t>SELECT p.p_type, MIN(ps.ps_supplycost) AS cost_minim FROM supplier s INNER JOIN partsupp ps ON s.s_suppkey = ps.ps_suppkey INNER JOIN part p ON ps.ps_partkey = p.p_partkey GROUP BY p.p_type ORDER BY cost_minim ASC;</t>
  </si>
  <si>
    <t>SELECT o.o_clerk, MAX(l.l_quantity) AS cantitate_maxima FROM customer c INNER JOIN orders o ON c.c_custkey = o.o_custkey INNER JOIN lineitem l ON o.o_orderkey = l.l_orderkey GROUP BY o.o_clerk ORDER BY cantitate_maxima DESC;</t>
  </si>
  <si>
    <t>SELECT p.p_mfgr, MIN(p.p_retailprice) AS cel_mai_ieftin_retail FROM supplier s INNER JOIN partsupp ps ON s.s_suppkey = ps.ps_suppkey INNER JOIN part p ON ps.ps_partkey = p.p_partkey GROUP BY p.p_mfgr ORDER BY cel_mai_ieftin_retail ASC;</t>
  </si>
  <si>
    <t>SELECT l.l_shipmode, MAX(l.l_discount) AS discount_maxim FROM customer c INNER JOIN orders o ON c.c_custkey = o.o_custkey INNER JOIN lineitem l ON o.o_orderkey = l.l_orderkey GROUP BY l.l_shipmode ORDER BY discount_maxim DESC;</t>
  </si>
  <si>
    <t>SELECT p.p_size, MIN(ps.ps_availqty) AS stoc_minim FROM supplier s INNER JOIN partsupp ps ON s.s_suppkey = ps.ps_suppkey INNER JOIN part p ON ps.ps_partkey = p.p_partkey GROUP BY p.p_size ORDER BY stoc_minim ASC;</t>
  </si>
  <si>
    <t>SELECT n.n_name, MAX(o.o_totalprice) AS comanda_record FROM nation n INNER JOIN customer c ON n.n_nationkey = c.c_nationkey INNER JOIN orders o ON c.c_custkey = o.o_custkey GROUP BY n.n_name ORDER BY comanda_record DESC;</t>
  </si>
  <si>
    <t>SELECT n.n_name, MIN(ps.ps_supplycost) AS cel_mai_bun_cost FROM nation n INNER JOIN supplier s ON n.n_nationkey = s.s_nationkey INNER JOIN partsupp ps ON s.s_suppkey = ps.ps_suppkey GROUP BY n.n_name ORDER BY cel_mai_bun_cost ASC;</t>
  </si>
  <si>
    <t>SELECT o.o_orderpriority, MAX(l.l_tax) AS taxa_maxima FROM customer c INNER JOIN orders o ON c.c_custkey = o.o_custkey INNER JOIN lineitem l ON o.o_orderkey = l.l_orderkey GROUP BY o.o_orderpriority ORDER BY taxa_maxima DESC;</t>
  </si>
  <si>
    <t>SELECT p.p_brand, MAX(s.s_acctbal) AS sold_maxim_furnizor FROM supplier s INNER JOIN partsupp ps ON s.s_suppkey = ps.ps_suppkey INNER JOIN part p ON ps.ps_partkey = p.p_partkey WHERE p.p_brand = 'Brand#12' GROUP BY p.p_brand ORDER BY sold_maxim_furnizor DESC;</t>
  </si>
  <si>
    <t>SELECT c.c_name, c.c_mktsegment, o.o_orderdate, o.o_orderpriority, l.l_shipmode, l.l_extendedprice, n.n_name, r.r_name FROM customer c INNER JOIN orders o ON c.c_custkey = o.o_custkey INNER JOIN lineitem l ON o.o_orderkey = l.l_orderkey INNER JOIN nation n ON c.c_nationkey = n.n_nationkey INNER JOIN region r ON n.n_regionkey = r.r_regionkey WHERE c.c_mktsegment = 'AUTOMOBILE' AND o.o_orderpriority = '1-URGENT' AND l.l_shipmode = 'AIR' AND r.r_name = 'EUROPE' ORDER BY o.o_orderdate DESC, l.l_extendedprice DESC;</t>
  </si>
  <si>
    <t>SELECT c.c_name, c.c_acctbal, o.o_orderdate, o.o_totalprice, l.l_returnflag, l.l_discount, n.n_name, r.r_name FROM customer c INNER JOIN orders o ON c.c_custkey = o.o_custkey INNER JOIN lineitem l ON o.o_orderkey = l.l_orderkey INNER JOIN nation n ON c.c_nationkey = n.n_nationkey INNER JOIN region r ON n.n_regionkey = r.r_regionkey WHERE o.o_orderstatus = 'F' AND l.l_returnflag = 'R' AND l.l_discount &gt; 0.07 AND r.r_name = 'ASIA' ORDER BY l.l_discount DESC, o.o_totalprice DESC;</t>
  </si>
  <si>
    <t>SELECT c.c_name, c.c_mktsegment, o.o_orderdate, o.o_orderpriority, l.l_shipmode, l.l_quantity, n.n_name, r.r_name FROM customer c INNER JOIN orders o ON c.c_custkey = o.o_custkey INNER JOIN lineitem l ON o.o_orderkey = l.l_orderkey INNER JOIN nation n ON c.c_nationkey = n.n_nationkey INNER JOIN region r ON n.n_regionkey = r.r_regionkey WHERE c.c_mktsegment = 'BUILDING' AND l.l_shipmode = 'SHIP' AND o.o_orderdate &gt; '1997-01-01' AND r.r_name = 'AMERICA' ORDER BY o.o_orderdate DESC, l.l_quantity DESC;</t>
  </si>
  <si>
    <t>SELECT c.c_name, o.o_orderdate, o.o_orderpriority, l.l_extendedprice, l.l_shipmode, s.s_name, s.s_acctbal FROM customer c INNER JOIN orders o ON c.c_custkey = o.o_custkey INNER JOIN lineitem l ON o.o_orderkey = l.l_orderkey INNER JOIN supplier s ON l.l_suppkey = s.s_suppkey WHERE o.o_orderpriority = '1-URGENT' AND l.l_shipmode = 'AIR' AND s.s_acctbal &gt; 5000 ORDER BY l.l_extendedprice DESC, o.o_orderdate DESC;</t>
  </si>
  <si>
    <t>SELECT c.c_name, o.o_orderdate, l.l_extendedprice, l.l_discount, s.s_name, n.n_name AS natiune_furnizor FROM customer c INNER JOIN orders o ON c.c_custkey = o.o_custkey INNER JOIN lineitem l ON o.o_orderkey = l.l_orderkey INNER JOIN supplier s ON l.l_suppkey = s.s_suppkey INNER JOIN nation n ON s.s_nationkey = n.n_nationkey WHERE n.n_name = 'GERMANY' AND l.l_discount &gt; 0.05 AND o.o_orderstatus = 'F' ORDER BY l.l_extendedprice DESC, o.o_orderdate ASC;</t>
  </si>
  <si>
    <t>SELECT c.c_name, s.s_name, o.o_orderdate, l.l_extendedprice, l.l_shipmode, n1.n_name AS nat_client, n2.n_name AS nat_furnizor, r.r_name AS regiune FROM customer c INNER JOIN orders o ON c.c_custkey = o.o_custkey INNER JOIN lineitem l ON o.o_orderkey = l.l_orderkey INNER JOIN supplier s ON l.l_suppkey = s.s_suppkey INNER JOIN nation n1 ON c.c_nationkey = n1.n_nationkey JOIN nation n2 ON s.s_nationkey = n2.n_nationkey JOIN region r ON n1.n_regionkey = r.r_regionkey WHERE n1.n_regionkey = n2.n_regionkey AND r.r_name = 'EUROPE' AND l.l_shipmode = 'RAIL' ORDER BY o.o_orderdate DESC, l.l_extendedprice DESC;</t>
  </si>
  <si>
    <t>SELECT c.c_name, s.s_name, o.o_orderdate, o.o_orderpriority, l.l_extendedprice, l.l_returnflag, n1.n_name AS nat_client, n2.n_name AS nat_furnizor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WHERE n1.n_name = 'FRANCE' AND n2.n_name = 'GERMANY' AND o.o_orderpriority = '1-URGENT' ORDER BY o.o_orderdate DESC, l.l_extendedprice DESC;</t>
  </si>
  <si>
    <t>SELECT c.c_name, o.o_orderdate, l.l_extendedprice, l.l_quantity, p.p_name, p.p_type, n.n_name, r.r_name FROM customer c INNER JOIN orders o ON c.c_custkey = o.o_custkey INNER JOIN lineitem l ON o.o_orderkey = l.l_orderkey INNER JOIN part p ON l.l_partkey = p.p_partkey INNER JOIN nation n ON c.c_nationkey = n.n_nationkey INNER JOIN region r ON n.n_regionkey = r.r_regionkey WHERE p.p_type LIKE '%BRASS%' AND r.r_name = 'MIDDLE EAST' AND l.l_quantity &gt; 20 ORDER BY l.l_extendedprice DESC, o.o_orderdate ASC;</t>
  </si>
  <si>
    <t>SELECT c.c_name, c.c_mktsegment, s.s_name, s.s_acctbal, o.o_orderdate, l.l_extendedprice, l.l_shipmode, n.n_name AS nat_client, r.r_name FROM customer c INNER JOIN orders o ON c.c_custkey = o.o_custkey INNER JOIN lineitem l ON o.o_orderkey = l.l_orderkey INNER JOIN supplier s ON l.l_suppkey = s.s_suppkey INNER JOIN nation n ON c.c_nationkey = n.n_nationkey INNER JOIN region r ON n.n_regionkey = r.r_regionkey WHERE c.c_mktsegment = 'HOUSEHOLD' AND r.r_name = 'AFRICA' AND s.s_acctbal &gt; 7000 AND l.l_shipmode = 'TRUCK' ORDER BY s.s_acctbal DESC, l.l_extendedprice DESC;</t>
  </si>
  <si>
    <t>SELECT c.c_name, s.s_name, o.o_orderdate, o.o_orderpriority, l.l_extendedprice, l.l_shipmode, n1.n_name AS nat_client, n2.n_name AS nat_furnizor, r.r_name AS regiune_comuna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INNER JOIN region r ON n1.n_regionkey = r.r_regionkey WHERE n1.n_regionkey = n2.n_regionkey AND r.r_name = 'AMERICA' AND o.o_orderpriority IN ('1-URGENT','2-HIGH') AND l.l_shipmode IN ('AIR','RAIL') ORDER BY o.o_orderdate DESC, l.l_extendedprice DESC;</t>
  </si>
  <si>
    <t>SELECT n.n_name AS natiune_client, o.o_orderstatus, COUNT(DISTINCT o.o_orderkey) AS nr_comenzi FROM customer c INNER JOIN orders o ON c.c_custkey = o.o_custkey INNER JOIN lineitem l ON o.o_orderkey = l.l_orderkey INNER JOIN nation n ON c.c_nationkey = n.n_nationkey WHERE o.o_orderstatus IN ('F','O') GROUP BY n.n_name, o.o_orderstatus ORDER BY n.n_name ASC, nr_comenzi DESC;</t>
  </si>
  <si>
    <t>SELECT r.r_name AS regiune_client, l.l_shipmode, COUNT(*) AS nr_linii FROM customer c INNER JOIN orders o ON c.c_custkey = o.o_custkey INNER JOIN lineitem l ON o.o_orderkey = l.l_orderkey INNER JOIN nation n ON c.c_nationkey = n.n_nationkey INNER JOIN region r ON n.n_regionkey = r.r_regionkey WHERE l.l_shipmode IN ('AIR','RAIL','TRUCK','SHIP') GROUP BY r.r_name, l.l_shipmode ORDER BY r.r_name ASC, nr_linii DESC;</t>
  </si>
  <si>
    <t>SELECT n.n_name AS natiune_furnizor, p.p_type, COUNT(DISTINCT s.s_suppkey) AS nr_furnizori FROM supplier s INNER JOIN partsupp ps ON s.s_suppkey = ps.ps_suppkey INNER JOIN part p ON ps.ps_partkey = p.p_partkey INNER JOIN nation n ON s.s_nationkey = n.n_nationkey WHERE p.p_type LIKE '%STEEL%' OR p.p_type LIKE '%BRASS%' GROUP BY n.n_name, p.p_type ORDER BY n.n_name ASC, nr_furnizori DESC;</t>
  </si>
  <si>
    <t>SELECT r.r_name AS regiune_furnizor, o.o_orderpriority, COUNT(DISTINCT o.o_orderkey) AS nr_comenzi FROM customer c INNER JOIN orders o ON c.c_custkey = o.o_custkey INNER JOIN lineitem l ON o.o_orderkey = l.l_orderkey INNER JOIN supplier s ON l.l_suppkey = s.s_suppkey INNER JOIN nation n ON s.s_nationkey = n.n_nationkey INNER JOIN region r ON n.n_regionkey = r.r_regionkey WHERE o.o_orderpriority IN ('1-URGENT','2-HIGH','3-MEDIUM') GROUP BY r.r_name, o.o_orderpriority ORDER BY r.r_name ASC, nr_comenzi DESC;</t>
  </si>
  <si>
    <t>SELECT r.r_name AS regiune_furnizor, p.p_brand, COUNT(DISTINCT p.p_partkey) AS nr_piese FROM supplier s INNER JOIN partsupp ps ON s.s_suppkey = ps.ps_suppkey INNER JOIN part p ON ps.ps_partkey = p.p_partkey INNER JOIN nation n ON s.s_nationkey = n.n_nationkey INNER JOIN region r ON n.n_regionkey = r.r_regionkey WHERE p.p_brand IN ('Brand#12','Brand#23','Brand#34','Brand#45') GROUP BY r.r_name, p.p_brand ORDER BY r.r_name ASC, nr_piese DESC;</t>
  </si>
  <si>
    <t>SELECT n.n_name AS natiune_client, c.c_mktsegment, COUNT(DISTINCT c.c_custkey) AS nr_clienti_activi FROM customer c INNER JOIN orders o ON c.c_custkey = o.o_custkey INNER JOIN lineitem l ON o.o_orderkey = l.l_orderkey INNER JOIN nation n ON c.c_nationkey = n.n_nationkey WHERE o.o_orderdate BETWEEN '1995-01-01' AND '1997-12-31' GROUP BY n.n_name, c.c_mktsegment ORDER BY n.n_name ASC, nr_clienti_activi DESC;</t>
  </si>
  <si>
    <t>SELECT r.r_name AS regiune_client, EXTRACT (YEAR FROM o.o_orderdate) AS an_comanda, COUNT(*) AS nr_linii_returnate FROM customer c INNER JOIN orders o ON c.c_custkey = o.o_custkey INNER JOIN lineitem l ON o.o_orderkey = l.l_orderkey INNER JOIN nation n ON c.c_nationkey = n.n_nationkey INNER JOIN region r ON n.n_regionkey = r.r_regionkey WHERE l.l_returnflag = 'R' GROUP BY r.r_name, EXTRACT (YEAR FROM o.o_orderdate) ORDER BY r.r_name ASC, an_comanda ASC;</t>
  </si>
  <si>
    <t>SELECT n1.n_name AS natiune_client, n2.n_name AS natiune_furnizor, COUNT(DISTINCT c.c_custkey) AS nr_clienti, COUNT(DISTINCT s.s_suppkey) AS nr_furnizori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WHERE n1.n_name IN ('FRANCE','GERMANY') AND n2.n_name IN ('FRANCE','GERMANY') GROUP BY n1.n_name, n2.n_name ORDER BY n1.n_name ASC, n2.n_name ASC;</t>
  </si>
  <si>
    <t>SELECT r.r_name AS regiune_furnizor, p.p_container, p.p_size, COUNT(DISTINCT p.p_partkey) AS nr_piese FROM supplier s INNER JOIN partsupp ps ON s.s_suppkey = ps.ps_suppkey INNER JOIN part p ON ps.ps_partkey = p.p_partkey INNER JOIN nation n ON s.s_nationkey = n.n_nationkey INNER JOIN region r ON n.n_regionkey = r.r_regionkey WHERE p.p_size BETWEEN 5 AND 15 GROUP BY r.r_name, p.p_container, p.p_size ORDER BY r.r_name ASC, nr_piese DESC;</t>
  </si>
  <si>
    <t>SELECT r1.r_name AS regiune_client, r2.r_name AS regiune_furnizor, COUNT(DISTINCT o.o_orderkey) AS nr_comenzi, COUNT(DISTINCT c.c_custkey) AS nr_clienti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INNER JOIN region r1 ON n1.n_regionkey = r1.r_regionkey INNER JOIN region r2 ON n2.n_regionkey = r2.r_regionkey WHERE o.o_orderdate BETWEEN '1994-01-01' AND '1997-12-31' GROUP BY r1.r_name, r2.r_name ORDER BY r1.r_name ASC, nr_comenzi DESC;</t>
  </si>
  <si>
    <t>SELECT n.n_name AS natiune_client, EXTRACT (YEAR FROM o.o_orderdate) AS an_comanda, SUM(l.l_extendedprice) AS total_facturat FROM customer c INNER JOIN orders o ON c.c_custkey = o.o_custkey INNER JOIN lineitem l ON o.o_orderkey = l.l_orderkey INNER JOIN nation n ON c.c_nationkey = n.n_nationkey WHERE o.o_orderdate BETWEEN '1993-01-01' AND '1997-12-31' GROUP BY n.n_name, EXTRACT (YEAR FROM o.o_orderdate) ORDER BY n.n_name ASC, an_comanda ASC;</t>
  </si>
  <si>
    <t>SELECT r.r_name AS regiune_client, l.l_shipmode, SUM(l.l_extendedprice * (1 - l.l_discount)) AS valoare_neta_totala FROM customer c JOIN orders o ON c.c_custkey = o.o_custkey JOIN lineitem l ON o.o_orderkey = l.l_orderkey JOIN nation n ON c.c_nationkey = n.n_nationkey JOIN region r ON n.n_regionkey = r.r_regionkey WHERE l.l_shipmode IN ('AIR','RAIL','TRUCK','SHIP','MAIL') GROUP BY r.r_name, l.l_shipmode ORDER BY r.r_name ASC, valoare_neta_totala DESC;</t>
  </si>
  <si>
    <t>SELECT n.n_name AS natiune_furnizor, l.l_linestatus, SUM(l.l_tax) AS total_taxe FROM supplier s INNER JOIN lineitem l ON s.s_suppkey = l.l_suppkey INNER JOIN orders o ON l.l_orderkey = o.o_orderkey INNER JOIN nation n ON s.s_nationkey = n.n_nationkey WHERE l.l_linestatus IN ('F','O') GROUP BY n.n_name, l.l_linestatus ORDER BY n.n_name ASC, total_taxe DESC;</t>
  </si>
  <si>
    <t>SELECT r.r_name AS regiune_furnizor, o.o_orderpriority, SUM(l.l_discount) AS total_discount FROM customer c INNER JOIN orders o ON c.c_custkey = o.o_custkey INNER JOIN lineitem l ON o.o_orderkey = l.l_orderkey INNER JOIN supplier s ON l.l_suppkey = s.s_suppkey INNER JOIN nation n ON s.s_nationkey = n.n_nationkey INNER JOIN region r ON n.n_regionkey = r.r_regionkey WHERE o.o_orderpriority IN ('1-URGENT','2-HIGH','3-MEDIUM','4-NOT SPECIFIED','5-LOW') GROUP BY r.r_name, o.o_orderpriority ORDER BY r.r_name ASC, total_discount DESC;</t>
  </si>
  <si>
    <t>SELECT n1.n_name AS natiune_client, n2.n_name AS natiune_furnizor, SUM(l.l_extendedprice) AS total_facturat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WHERE EXTRACT (YEAR FROM o.o_orderdate) BETWEEN 1995 AND 1996 GROUP BY n1.n_name, n2.n_name ORDER BY total_facturat DESC;</t>
  </si>
  <si>
    <t>SELECT r1.r_name AS regiune_client, r2.r_name AS regiune_furnizor, SUM(l.l_extendedprice * (1 - l.l_discount)) AS valoare_neta_totala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INNER JOIN region r1 ON n1.n_regionkey = r1.r_regionkey INNER JOIN region r2 ON n2.n_regionkey = r2.r_regionkey WHERE o.o_orderstatus = 'F' GROUP BY r1.r_name, r2.r_name ORDER BY valoare_neta_totala DESC;</t>
  </si>
  <si>
    <t>SELECT n.n_name AS natiune_furnizor, p.p_brand, SUM(l.l_quantity) AS total_cantitate, SUM(l.l_extendedprice) AS total_facturat FROM supplier s INNER JOIN lineitem l ON s.s_suppkey = l.l_suppkey INNER JOIN part p ON l.l_partkey = p.p_partkey INNER JOIN nation n ON s.s_nationkey = n.n_nationkey WHERE p.p_brand IN ('Brand#12','Brand#23','Brand#34','Brand#45','Brand#55') GROUP BY n.n_name, p.p_brand ORDER BY n.n_name ASC, total_facturat DESC;</t>
  </si>
  <si>
    <t>SELECT c.c_mktsegment, r.r_name AS regiune_furnizor, SUM(l.l_tax) AS total_taxe, SUM(l.l_discount) AS total_discount FROM customer c INNER JOIN orders o ON c.c_custkey = o.o_custkey INNER JOIN lineitem l ON o.o_orderkey = l.l_orderkey INNER JOIN supplier s ON l.l_suppkey = s.s_suppkey INNER JOIN nation n ON s.s_nationkey = n.n_nationkey INNER JOIN region r ON n.n_regionkey = r.r_regionkey WHERE l.l_returnflag = 'R' GROUP BY c.c_mktsegment, r.r_name ORDER BY c.c_mktsegment ASC, total_taxe DESC;</t>
  </si>
  <si>
    <t>SELECT r.r_name AS regiune_client, p.p_type, SUM(l.l_extendedprice) AS total_facturat FROM customer c INNER JOIN orders o ON c.c_custkey = o.o_custkey INNER JOIN lineitem l ON o.o_orderkey = l.l_orderkey INNER JOIN part p ON l.l_partkey = p.p_partkey INNER JOIN nation n ON c.c_nationkey = n.n_nationkey INNER JOIN region r ON n.n_regionkey = r.r_regionkey WHERE p.p_type LIKE 'STANDARD%' OR p.p_type LIKE 'PROMO%' GROUP BY r.r_name, p.p_type ORDER BY r.r_name ASC, total_facturat DESC;</t>
  </si>
  <si>
    <t>SELECT r1.r_name AS regiune_client, r2.r_name AS regiune_furnizor, EXTRACT (YEAR FROM o.o_orderdate) AS an_comanda, SUM(l.l_extendedprice) AS total_facturat, SUM(l.l_tax) AS total_taxe, SUM(l.l_discount) AS total_discount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INNER JOIN region r1 ON n1.n_regionkey = r1.r_regionkey INNER JOIN region r2 ON n2.n_regionkey = r2.r_regionkey WHERE o.o_orderdate BETWEEN '1993-01-01' AND '1997-12-31' GROUP BY r1.r_name, r2.r_name, EXTRACT (YEAR FROM o.o_orderdate) ORDER BY r1.r_name ASC, r2.r_name ASC, an_comanda ASC;</t>
  </si>
  <si>
    <t>SELECT n.n_name AS natiune_client, SUM(l.l_extendedprice) AS total_facturat FROM customer c INNER JOIN orders o ON c.c_custkey = o.o_custkey INNER JOIN lineitem l ON o.o_orderkey = l.l_orderkey INNER JOIN nation n ON c.c_nationkey = n.n_nationkey WHERE o.o_orderstatus = 'F' GROUP BY n.n_name HAVING SUM(l.l_extendedprice) &gt; 5000000 ORDER BY total_facturat DESC;</t>
  </si>
  <si>
    <t>SELECT r.r_name AS regiune_client, COUNT(DISTINCT o.o_orderkey) AS nr_comenzi_urgente FROM customer c INNER JOIN orders o ON c.c_custkey = o.o_custkey INNER JOIN lineitem l ON o.o_orderkey = l.l_orderkey INNER JOIN nation n ON c.c_nationkey = n.n_nationkey INNER JOIN region r ON n.n_regionkey = r.r_regionkey WHERE o.o_orderpriority = '1-URGENT' GROUP BY r.r_name HAVING COUNT(DISTINCT o.o_orderkey) &gt; 500 ORDER BY nr_comenzi_urgente DESC;</t>
  </si>
  <si>
    <t>SELECT n.n_name AS natiune_furnizor, s.s_name, SUM(l.l_tax) AS total_taxe FROM supplier s INNER JOIN lineitem l ON s.s_suppkey = l.l_suppkey INNER JOIN orders o ON l.l_orderkey = o.o_orderkey INNER JOIN nation n ON s.s_nationkey = n.n_nationkey WHERE l.l_linestatus = 'F' GROUP BY n.n_name, s.s_suppkey, s.s_name HAVING SUM(l.l_tax) &gt; 40 ORDER BY n.n_name ASC, total_taxe DESC;</t>
  </si>
  <si>
    <t>SELECT n1.n_name AS natiune_client, n2.n_name AS natiune_furnizor, SUM(l.l_extendedprice * (1 - l.l_discount)) AS valoare_neta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WHERE EXTRACT (YEAR FROM o.o_orderdate) BETWEEN 1994 AND 1997 GROUP BY n1.n_name, n2.n_name HAVING SUM(l.l_extendedprice * (1 - l.l_discount)) &gt; 1000000 ORDER BY valoare_neta DESC;</t>
  </si>
  <si>
    <t>SELECT r.r_name AS regiune_furnizor, SUM(l.l_discount) AS total_discount FROM customer c INNER JOIN orders o ON c.c_custkey = o.o_custkey INNER JOIN lineitem l ON o.o_orderkey = l.l_orderkey INNER JOIN supplier s ON l.l_suppkey = s.s_suppkey INNER JOIN nation n ON s.s_nationkey = n.n_nationkey INNER JOIN region r ON n.n_regionkey = r.r_regionkey WHERE l.l_returnflag = 'R' GROUP BY r.r_name HAVING SUM(l.l_discount) &gt; 1000 ORDER BY total_discount DESC;</t>
  </si>
  <si>
    <t>SELECT r.r_name AS regiune_furnizor, p.p_brand, COUNT(DISTINCT s.s_suppkey) AS nr_furnizori FROM supplier s INNER JOIN partsupp ps ON s.s_suppkey = ps.ps_suppkey INNER JOIN part p ON ps.ps_partkey = p.p_partkey INNER JOIN nation n ON s.s_nationkey = n.n_nationkey INNER JOIN region r ON n.n_regionkey = r.r_regionkey WHERE p.p_size BETWEEN 1 AND 20 GROUP BY r.r_name, p.p_brand HAVING COUNT(DISTINCT s.s_suppkey) &gt; 3 ORDER BY r.r_name ASC, nr_furnizori DESC;</t>
  </si>
  <si>
    <t>SELECT r.r_name AS regiune_client, c.c_mktsegment, SUM(l.l_extendedprice) AS total_returnat FROM customer c INNER JOIN orders o ON c.c_custkey = o.o_custkey INNER JOIN lineitem l ON o.o_orderkey = l.l_orderkey INNER JOIN nation n ON c.c_nationkey = n.n_nationkey INNER JOIN region r ON n.n_regionkey = r.r_regionkey WHERE l.l_returnflag = 'R' GROUP BY r.r_name, c.c_mktsegment HAVING SUM(l.l_extendedprice) &gt; 2000000 ORDER BY r.r_name ASC, total_returnat DESC;</t>
  </si>
  <si>
    <t>SELECT r1.r_name AS regiune_client, r2.r_name AS regiune_furnizor, COUNT(*) AS nr_linii_returnate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INNER JOIN region r1 ON n1.n_regionkey = r1.r_regionkey INNER JOIN region r2 ON n2.n_regionkey = r2.r_regionkey WHERE l.l_returnflag = 'R' GROUP BY r1.r_name, r2.r_name HAVING COUNT(*) &gt; 500 ORDER BY nr_linii_returnate DESC;</t>
  </si>
  <si>
    <t>SELECT p.p_type, SUM(l.l_extendedprice) AS total_facturat, COUNT(DISTINCT p.p_partkey) AS nr_piese FROM customer c INNER JOIN orders o ON c.c_custkey = o.o_custkey INNER JOIN lineitem l ON o.o_orderkey = l.l_orderkey INNER JOIN part p ON l.l_partkey = p.p_partkey INNER JOIN nation n ON c.c_nationkey = n.n_nationkey INNER JOIN region r ON n.n_regionkey = r.r_regionkey WHERE r.r_name = 'EUROPE' GROUP BY p.p_type HAVING SUM(l.l_extendedprice) &gt; 1500000 ORDER BY total_facturat DESC;</t>
  </si>
  <si>
    <t>SELECT r1.r_name AS regiune_client, r2.r_name AS regiune_furnizor, SUM(l.l_extendedprice) AS total_facturat, SUM(l.l_tax) AS total_taxe, COUNT(DISTINCT o.o_orderkey) AS nr_comenzi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INNER JOIN region r1 ON n1.n_regionkey = r1.r_regionkey INNER JOIN region r2 ON n2.n_regionkey = r2.r_regionkey WHERE o.o_orderdate BETWEEN '1993-01-01' AND '1997-12-31' GROUP BY r1.r_name, r2.r_name HAVING SUM(l.l_extendedprice) &gt; 10000000 AND COUNT(DISTINCT o.o_orderkey) &gt; 1000 ORDER BY total_facturat DESC;</t>
  </si>
  <si>
    <t>SELECT n.n_name AS natiune_client, l.l_shipmode, MAX(l.l_extendedprice) AS pret_maxim, MIN(l.l_extendedprice) AS pret_minim FROM customer c INNER JOIN orders o ON c.c_custkey = o.o_custkey INNER JOIN lineitem l ON o.o_orderkey = l.l_orderkey INNER JOIN nation n ON c.c_nationkey = n.n_nationkey WHERE l.l_shipmode IN ('AIR','RAIL','TRUCK','SHIP','MAIL','FOB','REG AIR') GROUP BY n.n_name, l.l_shipmode ORDER BY pret_maxim DESC;</t>
  </si>
  <si>
    <t>SELECT r.r_name AS regiune_client, o.o_orderpriority, MAX(l.l_quantity) AS cantitate_maxima, MIN(l.l_quantity) AS cantitate_minima FROM customer c INNER JOIN orders o ON c.c_custkey = o.o_custkey INNER JOIN lineitem l ON o.o_orderkey = l.l_orderkey INNER JOIN nation n ON c.c_nationkey = n.n_nationkey INNER JOIN region r ON n.n_regionkey = r.r_regionkey WHERE o.o_orderpriority IN ('1-URGENT','2-HIGH','3-MEDIUM','4-NOT SPECIFIED','5-LOW') GROUP BY r.r_name, o.o_orderpriority ORDER BY r.r_name ASC, cantitate_maxima DESC;</t>
  </si>
  <si>
    <t>SELECT r.r_name AS regiune_furnizor, p.p_mfgr, MAX(p.p_retailprice) AS pret_maxim_catalog, MIN(p.p_retailprice) AS pret_minim_catalog FROM supplier s INNER JOIN partsupp ps ON s.s_suppkey = ps.ps_suppkey INNER JOIN part p ON ps.ps_partkey = p.p_partkey INNER JOIN nation n ON s.s_nationkey = n.n_nationkey INNER JOIN region r ON n.n_regionkey = r.r_regionkey WHERE p.p_mfgr IN ('Manufacturer#1','Manufacturer#2','Manufacturer#3','Manufacturer#4','Manufacturer#5') GROUP BY r.r_name, p.p_mfgr ORDER BY r.r_name ASC, pret_maxim_catalog DESC;</t>
  </si>
  <si>
    <t>SELECT n.n_name AS natiune_furnizor, p.p_brand, MAX(ps.ps_supplycost) AS cost_maxim_aprovizionare, MIN(ps.ps_supplycost) AS cost_minim_aprovizionare FROM supplier s INNER JOIN partsupp ps ON s.s_suppkey = ps.ps_suppkey INNER JOIN part p ON ps.ps_partkey = p.p_partkey INNER JOIN nation n ON s.s_nationkey = n.n_nationkey WHERE p.p_size BETWEEN 5 AND 25 GROUP BY n.n_name, p.p_brand ORDER BY cost_maxim_aprovizionare DESC;</t>
  </si>
  <si>
    <t>SELECT n1.n_name AS natiune_client, n2.n_name AS natiune_furnizor, MAX(l.l_discount) AS discount_maxim, MIN(l.l_discount) AS discount_minim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WHERE o.o_orderstatus = 'F' GROUP BY n1.n_name, n2.n_name ORDER BY discount_maxim DESC, n1.n_name ASC;</t>
  </si>
  <si>
    <t>SELECT r.r_name AS regiune_client, p.p_type, MAX(l.l_extendedprice) AS pret_maxim_linie, MIN(l.l_extendedprice) AS pret_minim_linie FROM customer c INNER JOIN orders o ON c.c_custkey = o.o_custkey INNER JOIN lineitem l ON o.o_orderkey = l.l_orderkey INNER JOIN part p ON l.l_partkey = p.p_partkey INNER JOIN nation n ON c.c_nationkey = n.n_nationkey INNER JOIN region r ON n.n_regionkey = r.r_regionkey WHERE p.p_type LIKE 'PROMO%' OR p.p_type LIKE 'STANDARD%' GROUP BY r.r_name, p.p_type ORDER BY r.r_name ASC, pret_maxim_linie DESC;</t>
  </si>
  <si>
    <t>SELECT r1.r_name AS regiune_client, r2.r_name AS regiune_furnizor, MAX(l.l_tax) AS taxa_maxima, MIN(l.l_tax) AS taxa_minima FROM customer c INNER JOIN orders o ON c.c_custkey = o.o_custkey INNER JOIN lineitem l ON o.o_orderkey = l.l_orderkey INNER JOIN supplier s ON l.l_suppkey = s.s_suppkey INNER JOIN nation n1 ON c.c_nationkey = n1.n_nationkey INNER JOIN nation n2 ON s.s_nationkey = n2.n_nationkey INNER JOIN region r1 ON n1.n_regionkey = r1.r_regionkey INNER JOIN region r2 ON n2.n_regionkey = r2.r_regionkey WHERE o.o_orderdate BETWEEN '1994-01-01' AND '1997-12-31' GROUP BY r1.r_name, r2.r_name ORDER BY taxa_maxima DESC, r1.r_name ASC;</t>
  </si>
  <si>
    <t>SELECT r.r_name AS regiune_furnizor, p.p_container, MAX(ps.ps_availqty) AS stoc_maxim, MIN(ps.ps_availqty) AS stoc_minim FROM supplier s INNER JOIN partsupp ps ON s.s_suppkey = ps.ps_suppkey INNER JOIN part p ON ps.ps_partkey = p.p_partkey INNER JOIN nation n ON s.s_nationkey = n.n_nationkey INNER JOIN region r ON n.n_regionkey = r.r_regionkey WHERE ps.ps_availqty &gt; 0 GROUP BY r.r_name, p.p_container ORDER BY stoc_maxim DESC, r.r_name ASC;</t>
  </si>
  <si>
    <t>SELECT n.n_name AS natiune_client, p.p_mfgr AS producator, MAX(l.l_extendedprice) AS pret_maxim_facturat, MIN(l.l_extendedprice) AS pret_minim_facturat FROM customer c INNER JOIN orders o ON c.c_custkey = o.o_custkey INNER JOIN lineitem l ON o.o_orderkey = l.l_orderkey INNER JOIN part p ON l.l_partkey = p.p_partkey INNER JOIN nation n ON c.c_nationkey = n.n_nationkey WHERE p.p_mfgr IN ('Manufacturer#1','Manufacturer#2','Manufacturer#3','Manufacturer#4','Manufacturer#5') GROUP BY n.n_name, p.p_mfgr ORDER BY n.n_name ASC, pret_maxim_facturat DESC;</t>
  </si>
  <si>
    <t>SELECT r1.r_name AS regiune_client, r2.r_name AS regiune_furnizor, p.p_mfgr AS producator, MAX(l.l_extendedprice) AS pret_maxim, MIN(l.l_extendedprice) AS pret_minim, MAX(l.l_discount) AS discount_maxim, MIN(l.l_discount) AS discount_minim FROM customer c INNER JOIN orders o ON c.c_custkey = o.o_custkey INNER JOIN lineitem l ON o.o_orderkey = l.l_orderkey INNER JOIN supplier s ON l.l_suppkey = s.s_suppkey INNER JOIN part p ON l.l_partkey = p.p_partkey INNER JOIN nation n1 ON c.c_nationkey = n1.n_nationkey INNER JOIN nation n2 ON s.s_nationkey = n2.n_nationkey INNER JOIN region r1 ON n1.n_regionkey = r1.r_regionkey INNER JOIN region r2 ON n2.n_regionkey = r2.r_regionkey WHERE o.o_orderdate BETWEEN '1993-01-01' AND '1997-12-31' GROUP BY r1.r_name, r2.r_name, p.p_mfgr ORDER BY pret_maxim DESC, r1.r_name ASC;</t>
  </si>
  <si>
    <t>Interogari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</si>
  <si>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</si>
  <si>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</si>
  <si>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</si>
  <si>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</si>
  <si>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</si>
  <si>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</si>
  <si>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</si>
  <si>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</si>
  <si>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</si>
  <si>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</si>
  <si>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</si>
  <si>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</si>
  <si>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</si>
  <si>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</si>
  <si>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</si>
  <si>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</si>
  <si>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</si>
  <si>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</si>
  <si>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</si>
  <si>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</si>
  <si>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</si>
  <si>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</si>
  <si>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</si>
  <si>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</si>
  <si>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</si>
  <si>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</si>
  <si>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</si>
  <si>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</si>
  <si>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</si>
  <si>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</si>
  <si>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</si>
  <si>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</si>
  <si>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</si>
  <si>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</si>
  <si>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</si>
  <si>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</si>
  <si>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</si>
  <si>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</si>
  <si>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</si>
  <si>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</si>
  <si>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</si>
  <si>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</si>
  <si>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</si>
  <si>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</si>
  <si>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</si>
  <si>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</si>
  <si>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</si>
  <si>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</si>
  <si>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</si>
  <si>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</si>
  <si>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</si>
  <si>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</si>
  <si>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</si>
  <si>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</si>
  <si>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</si>
  <si>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</si>
  <si>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</si>
  <si>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</si>
  <si>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</si>
  <si>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</si>
  <si>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</si>
  <si>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</si>
  <si>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</si>
  <si>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</si>
  <si>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</si>
  <si>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</si>
  <si>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</si>
  <si>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</si>
  <si>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</si>
  <si>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</si>
  <si>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</si>
  <si>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</si>
  <si>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</si>
  <si>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</si>
  <si>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</si>
  <si>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</si>
  <si>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</si>
  <si>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</si>
  <si>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</si>
  <si>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</si>
  <si>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</si>
  <si>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</si>
  <si>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</si>
  <si>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</si>
  <si>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</si>
  <si>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</si>
  <si>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</si>
  <si>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</si>
  <si>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</si>
  <si>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</si>
  <si>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</si>
  <si>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</si>
  <si>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</si>
  <si>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</si>
  <si>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</si>
  <si>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</si>
  <si>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</si>
  <si>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</si>
  <si>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</si>
  <si>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</si>
  <si>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</si>
  <si>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</si>
  <si>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</si>
  <si>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</si>
  <si>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</si>
  <si>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</si>
  <si>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</si>
  <si>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</si>
  <si>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</si>
  <si>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</si>
  <si>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</si>
  <si>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</si>
  <si>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</si>
  <si>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</si>
  <si>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</si>
  <si>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</si>
  <si>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</si>
  <si>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</si>
  <si>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</si>
  <si>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</si>
  <si>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</si>
  <si>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</si>
  <si>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</si>
  <si>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</si>
  <si>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</si>
  <si>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</si>
  <si>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</si>
  <si>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</si>
  <si>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</si>
  <si>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</si>
  <si>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</si>
  <si>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</si>
  <si>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</si>
  <si>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</si>
  <si>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</si>
  <si>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</si>
  <si>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</si>
  <si>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</si>
  <si>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</si>
  <si>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</si>
  <si>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</si>
  <si>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</si>
  <si>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</si>
  <si>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</si>
  <si>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</si>
  <si>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</si>
  <si>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</si>
  <si>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</si>
  <si>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</si>
  <si>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</si>
  <si>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Media</t>
  </si>
  <si>
    <t>Mediana</t>
  </si>
  <si>
    <t>time_1nf_sec</t>
  </si>
  <si>
    <t>time_2nf_sec</t>
  </si>
  <si>
    <t>time_3nf_sec</t>
  </si>
  <si>
    <t>Indicator</t>
  </si>
  <si>
    <t>1NF</t>
  </si>
  <si>
    <t>2NF</t>
  </si>
  <si>
    <t>3NF</t>
  </si>
  <si>
    <t>Medie (sec)</t>
  </si>
  <si>
    <t>Mediana (sec)</t>
  </si>
  <si>
    <t>Valoare minima (sec)</t>
  </si>
  <si>
    <t>Valoare maximă (sec)</t>
  </si>
  <si>
    <t>Deviația standard</t>
  </si>
  <si>
    <t>Imterogări sub 2 sec (%)</t>
  </si>
  <si>
    <t>Interogări peste 10 sec (%)</t>
  </si>
  <si>
    <t>TABEL DE SINTEZA - STATISTICI COMPARATIVE PE FORMA DE NORMALIZARE</t>
  </si>
  <si>
    <t>TABEL COMPARATIV - MEDIA TIMPILOR DE EXECUTIE PE NIVEL DE COMPLEXITATE (SEC)</t>
  </si>
  <si>
    <t>Nivel complexitate</t>
  </si>
  <si>
    <t>Complexitate mica (Q1-Q50, 1 JOIN)</t>
  </si>
  <si>
    <t>Complexitate medie (Q51-Q100, 2 JOIN-uri)</t>
  </si>
  <si>
    <t>Complexitate mare (Q101-Q150, 3+ JOIN-uri)</t>
  </si>
  <si>
    <t>TABEL COMPARATV - MEDIA TIMPILOR DE EXECUTIE PE TIPAR ANALITIC</t>
  </si>
  <si>
    <t>Filtrare si ordonare</t>
  </si>
  <si>
    <t>Agregre COUNT</t>
  </si>
  <si>
    <t>Agregare SUM</t>
  </si>
  <si>
    <t>Filtrare grupuri HAVING</t>
  </si>
  <si>
    <t>Valori extreme MIN/MAX</t>
  </si>
  <si>
    <t>TABEL COMPARATIV - MEDIANA TIMPILOR DE EXECUTIE PE NIVEL DE COMPLEXITATE (SEC)</t>
  </si>
  <si>
    <t>Rezultatele testului statistic Wilcoxon</t>
  </si>
  <si>
    <t>Valoare p</t>
  </si>
  <si>
    <t>Seminificație</t>
  </si>
  <si>
    <t>1NF VS 2NF</t>
  </si>
  <si>
    <t>1NF VS 3NF</t>
  </si>
  <si>
    <t>2NF VS 3NF</t>
  </si>
  <si>
    <t>&lt; 0.001</t>
  </si>
  <si>
    <t xml:space="preserve"> &lt; 0.001</t>
  </si>
  <si>
    <t>Semnificativ</t>
  </si>
  <si>
    <t>Foarte semnificativ</t>
  </si>
  <si>
    <t>Comparație pe perechi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</si>
</sst>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6" fillId="34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166" fontId="0" fillId="35" borderId="10" xfId="0" applyNumberFormat="1" applyFill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 wrapText="1"/>
    </xf>
    <xf numFmtId="167" fontId="0" fillId="0" borderId="10" xfId="1" applyNumberFormat="1" applyFont="1" applyBorder="1" applyAlignment="1">
      <alignment horizontal="center" vertical="center" wrapText="1"/>
    </xf>
    <xf numFmtId="167" fontId="0" fillId="35" borderId="10" xfId="1" applyNumberFormat="1" applyFont="1" applyFill="1" applyBorder="1" applyAlignment="1">
      <alignment horizontal="center" vertical="center" wrapText="1"/>
    </xf>
    <xf numFmtId="0" fontId="16" fillId="0" borderId="0" xfId="0" applyFont="1"/>
    <xf numFmtId="166" fontId="0" fillId="0" borderId="10" xfId="0" applyNumberFormat="1" applyBorder="1" applyAlignment="1">
      <alignment horizontal="center" vertical="center"/>
    </xf>
    <xf numFmtId="0" fontId="16" fillId="0" borderId="10" xfId="0" applyFont="1" applyBorder="1"/>
    <xf numFmtId="0" fontId="16" fillId="34" borderId="10" xfId="0" applyFont="1" applyFill="1" applyBorder="1" applyAlignment="1">
      <alignment horizontal="center" vertical="center"/>
    </xf>
    <xf numFmtId="0" fontId="16" fillId="35" borderId="10" xfId="0" applyFont="1" applyFill="1" applyBorder="1"/>
    <xf numFmtId="166" fontId="0" fillId="35" borderId="10" xfId="0" applyNumberFormat="1" applyFill="1" applyBorder="1" applyAlignment="1">
      <alignment horizontal="center" vertical="center"/>
    </xf>
    <xf numFmtId="0" fontId="16" fillId="34" borderId="10" xfId="0" applyFont="1" applyFill="1" applyBorder="1"/>
    <xf numFmtId="0" fontId="0" fillId="35" borderId="10" xfId="0" applyFill="1" applyBorder="1"/>
    <xf numFmtId="0" fontId="16" fillId="36" borderId="0" xfId="0" applyFont="1" applyFill="1" applyBorder="1"/>
    <xf numFmtId="0" fontId="16" fillId="34" borderId="11" xfId="0" applyFont="1" applyFill="1" applyBorder="1"/>
    <xf numFmtId="0" fontId="16" fillId="35" borderId="12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un" xfId="7" builtinId="26" customBuiltin="1"/>
    <cellStyle name="Calcul" xfId="12" builtinId="22" customBuiltin="1"/>
    <cellStyle name="Celulă legată" xfId="13" builtinId="24" customBuiltin="1"/>
    <cellStyle name="Eronat" xfId="8" builtinId="27" customBuiltin="1"/>
    <cellStyle name="Ieșire" xfId="11" builtinId="21" customBuiltin="1"/>
    <cellStyle name="Intrare" xfId="10" builtinId="20" customBuiltin="1"/>
    <cellStyle name="Neutru" xfId="9" builtinId="28" customBuiltin="1"/>
    <cellStyle name="Normal" xfId="0" builtinId="0"/>
    <cellStyle name="Notă" xfId="16" builtinId="10" customBuiltin="1"/>
    <cellStyle name="Procent" xfId="1" builtinId="5"/>
    <cellStyle name="Text avertisment" xfId="15" builtinId="11" customBuiltin="1"/>
    <cellStyle name="Text explicativ" xfId="17" builtinId="53" customBuiltin="1"/>
    <cellStyle name="Titlu" xfId="2" builtinId="15" customBuiltin="1"/>
    <cellStyle name="Titlu 1" xfId="3" builtinId="16" customBuiltin="1"/>
    <cellStyle name="Titlu 2" xfId="4" builtinId="17" customBuiltin="1"/>
    <cellStyle name="Titlu 3" xfId="5" builtinId="18" customBuiltin="1"/>
    <cellStyle name="Titlu 4" xfId="6" builtinId="19" customBuiltin="1"/>
    <cellStyle name="Total" xfId="18" builtinId="25" customBuiltin="1"/>
    <cellStyle name="Verificare celulă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Figura 3.3 - Evolu</a:t>
            </a:r>
            <a:r>
              <a:rPr lang="ro-RO"/>
              <a:t>ția timpilor de execuție pentru toate cele 150 de interogări (sec)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Foaie2!$B$1</c:f>
              <c:strCache>
                <c:ptCount val="1"/>
                <c:pt idx="0">
                  <c:v>time_1nf_sec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Foaie2!$B$2:$B$151</c:f>
              <c:numCache>
                <c:formatCode>General</c:formatCode>
                <c:ptCount val="150"/>
                <c:pt idx="0">
                  <c:v>2.9369999999999998</c:v>
                </c:pt>
                <c:pt idx="1">
                  <c:v>3.839</c:v>
                </c:pt>
                <c:pt idx="2">
                  <c:v>1.6659999999999999</c:v>
                </c:pt>
                <c:pt idx="3">
                  <c:v>1.306</c:v>
                </c:pt>
                <c:pt idx="4">
                  <c:v>1.956</c:v>
                </c:pt>
                <c:pt idx="5">
                  <c:v>1.2509999999999999</c:v>
                </c:pt>
                <c:pt idx="6">
                  <c:v>1.3380000000000001</c:v>
                </c:pt>
                <c:pt idx="7">
                  <c:v>2.4289999999999998</c:v>
                </c:pt>
                <c:pt idx="8">
                  <c:v>1.6220000000000001</c:v>
                </c:pt>
                <c:pt idx="9">
                  <c:v>1.542</c:v>
                </c:pt>
                <c:pt idx="10">
                  <c:v>2.8820000000000001</c:v>
                </c:pt>
                <c:pt idx="11">
                  <c:v>1.7729999999999999</c:v>
                </c:pt>
                <c:pt idx="12">
                  <c:v>1.7809999999999999</c:v>
                </c:pt>
                <c:pt idx="13">
                  <c:v>2.6539999999999999</c:v>
                </c:pt>
                <c:pt idx="14">
                  <c:v>1.6950000000000001</c:v>
                </c:pt>
                <c:pt idx="15">
                  <c:v>1.714</c:v>
                </c:pt>
                <c:pt idx="16">
                  <c:v>3.391</c:v>
                </c:pt>
                <c:pt idx="17">
                  <c:v>1.5640000000000001</c:v>
                </c:pt>
                <c:pt idx="18">
                  <c:v>2.915</c:v>
                </c:pt>
                <c:pt idx="19">
                  <c:v>1.948</c:v>
                </c:pt>
                <c:pt idx="20">
                  <c:v>10.776</c:v>
                </c:pt>
                <c:pt idx="21">
                  <c:v>1.51</c:v>
                </c:pt>
                <c:pt idx="22">
                  <c:v>7.6210000000000004</c:v>
                </c:pt>
                <c:pt idx="23">
                  <c:v>1.5209999999999999</c:v>
                </c:pt>
                <c:pt idx="24">
                  <c:v>1.2609999999999999</c:v>
                </c:pt>
                <c:pt idx="25">
                  <c:v>7.9240000000000004</c:v>
                </c:pt>
                <c:pt idx="26">
                  <c:v>2.0630000000000002</c:v>
                </c:pt>
                <c:pt idx="27">
                  <c:v>14.975</c:v>
                </c:pt>
                <c:pt idx="28">
                  <c:v>1.887</c:v>
                </c:pt>
                <c:pt idx="29">
                  <c:v>2.48</c:v>
                </c:pt>
                <c:pt idx="30">
                  <c:v>97.745999999999995</c:v>
                </c:pt>
                <c:pt idx="31">
                  <c:v>80.358000000000004</c:v>
                </c:pt>
                <c:pt idx="32">
                  <c:v>87.951999999999998</c:v>
                </c:pt>
                <c:pt idx="33">
                  <c:v>88.225999999999999</c:v>
                </c:pt>
                <c:pt idx="34">
                  <c:v>80.843000000000004</c:v>
                </c:pt>
                <c:pt idx="35">
                  <c:v>80.801000000000002</c:v>
                </c:pt>
                <c:pt idx="36">
                  <c:v>79.852000000000004</c:v>
                </c:pt>
                <c:pt idx="37">
                  <c:v>155.364</c:v>
                </c:pt>
                <c:pt idx="38">
                  <c:v>79.7</c:v>
                </c:pt>
                <c:pt idx="39">
                  <c:v>80.501000000000005</c:v>
                </c:pt>
                <c:pt idx="40">
                  <c:v>88.489000000000004</c:v>
                </c:pt>
                <c:pt idx="41">
                  <c:v>107.274</c:v>
                </c:pt>
                <c:pt idx="42">
                  <c:v>80.242999999999995</c:v>
                </c:pt>
                <c:pt idx="43">
                  <c:v>110.345</c:v>
                </c:pt>
                <c:pt idx="44">
                  <c:v>23.300999999999998</c:v>
                </c:pt>
                <c:pt idx="45">
                  <c:v>13.08</c:v>
                </c:pt>
                <c:pt idx="46">
                  <c:v>152.55199999999999</c:v>
                </c:pt>
                <c:pt idx="47">
                  <c:v>41.780999999999999</c:v>
                </c:pt>
                <c:pt idx="48">
                  <c:v>109.687</c:v>
                </c:pt>
                <c:pt idx="49">
                  <c:v>14.23</c:v>
                </c:pt>
                <c:pt idx="50">
                  <c:v>1.3260000000000001</c:v>
                </c:pt>
                <c:pt idx="51">
                  <c:v>1.4610000000000001</c:v>
                </c:pt>
                <c:pt idx="52">
                  <c:v>1.2889999999999999</c:v>
                </c:pt>
                <c:pt idx="53">
                  <c:v>1.452</c:v>
                </c:pt>
                <c:pt idx="54">
                  <c:v>1.4690000000000001</c:v>
                </c:pt>
                <c:pt idx="55">
                  <c:v>1.8540000000000001</c:v>
                </c:pt>
                <c:pt idx="56">
                  <c:v>1.577</c:v>
                </c:pt>
                <c:pt idx="57">
                  <c:v>4.407</c:v>
                </c:pt>
                <c:pt idx="58">
                  <c:v>1.2709999999999999</c:v>
                </c:pt>
                <c:pt idx="59">
                  <c:v>1.3919999999999999</c:v>
                </c:pt>
                <c:pt idx="60">
                  <c:v>0.92200000000000004</c:v>
                </c:pt>
                <c:pt idx="61">
                  <c:v>1.0740000000000001</c:v>
                </c:pt>
                <c:pt idx="62">
                  <c:v>1.32</c:v>
                </c:pt>
                <c:pt idx="63">
                  <c:v>0.20799999999999999</c:v>
                </c:pt>
                <c:pt idx="64">
                  <c:v>0.57699999999999996</c:v>
                </c:pt>
                <c:pt idx="65">
                  <c:v>1.3959999999999999</c:v>
                </c:pt>
                <c:pt idx="66">
                  <c:v>0.40699999999999997</c:v>
                </c:pt>
                <c:pt idx="67">
                  <c:v>0.26100000000000001</c:v>
                </c:pt>
                <c:pt idx="68">
                  <c:v>0.96399999999999997</c:v>
                </c:pt>
                <c:pt idx="69">
                  <c:v>1.5740000000000001</c:v>
                </c:pt>
                <c:pt idx="70">
                  <c:v>2.754</c:v>
                </c:pt>
                <c:pt idx="71">
                  <c:v>2.8450000000000002</c:v>
                </c:pt>
                <c:pt idx="72">
                  <c:v>1.6220000000000001</c:v>
                </c:pt>
                <c:pt idx="73">
                  <c:v>7.1310000000000002</c:v>
                </c:pt>
                <c:pt idx="74">
                  <c:v>2.2509999999999999</c:v>
                </c:pt>
                <c:pt idx="75">
                  <c:v>3.0150000000000001</c:v>
                </c:pt>
                <c:pt idx="76">
                  <c:v>3.5979999999999999</c:v>
                </c:pt>
                <c:pt idx="77">
                  <c:v>6.1840000000000002</c:v>
                </c:pt>
                <c:pt idx="78">
                  <c:v>3.2919999999999998</c:v>
                </c:pt>
                <c:pt idx="79">
                  <c:v>2.4289999999999998</c:v>
                </c:pt>
                <c:pt idx="80">
                  <c:v>1.5269999999999999</c:v>
                </c:pt>
                <c:pt idx="81">
                  <c:v>0.28000000000000003</c:v>
                </c:pt>
                <c:pt idx="82">
                  <c:v>1.387</c:v>
                </c:pt>
                <c:pt idx="83">
                  <c:v>0.151</c:v>
                </c:pt>
                <c:pt idx="84">
                  <c:v>2.8180000000000001</c:v>
                </c:pt>
                <c:pt idx="85">
                  <c:v>0.188</c:v>
                </c:pt>
                <c:pt idx="86">
                  <c:v>1.9430000000000001</c:v>
                </c:pt>
                <c:pt idx="87">
                  <c:v>0.17799999999999999</c:v>
                </c:pt>
                <c:pt idx="88">
                  <c:v>2.21</c:v>
                </c:pt>
                <c:pt idx="89">
                  <c:v>1.5940000000000001</c:v>
                </c:pt>
                <c:pt idx="90">
                  <c:v>1.5049999999999999</c:v>
                </c:pt>
                <c:pt idx="91">
                  <c:v>0.252</c:v>
                </c:pt>
                <c:pt idx="92">
                  <c:v>1.823</c:v>
                </c:pt>
                <c:pt idx="93">
                  <c:v>0.245</c:v>
                </c:pt>
                <c:pt idx="94">
                  <c:v>1.69</c:v>
                </c:pt>
                <c:pt idx="95">
                  <c:v>0.19900000000000001</c:v>
                </c:pt>
                <c:pt idx="96">
                  <c:v>2.0939999999999999</c:v>
                </c:pt>
                <c:pt idx="97">
                  <c:v>0.26800000000000002</c:v>
                </c:pt>
                <c:pt idx="98">
                  <c:v>1.9179999999999999</c:v>
                </c:pt>
                <c:pt idx="99">
                  <c:v>0.13600000000000001</c:v>
                </c:pt>
                <c:pt idx="100">
                  <c:v>1.389</c:v>
                </c:pt>
                <c:pt idx="101">
                  <c:v>1.7969999999999999</c:v>
                </c:pt>
                <c:pt idx="102">
                  <c:v>1.262</c:v>
                </c:pt>
                <c:pt idx="103">
                  <c:v>7.0289999999999999</c:v>
                </c:pt>
                <c:pt idx="104">
                  <c:v>5.968</c:v>
                </c:pt>
                <c:pt idx="105">
                  <c:v>4.0739999999999998</c:v>
                </c:pt>
                <c:pt idx="106">
                  <c:v>1.5169999999999999</c:v>
                </c:pt>
                <c:pt idx="107">
                  <c:v>3.1579999999999999</c:v>
                </c:pt>
                <c:pt idx="108">
                  <c:v>2.5</c:v>
                </c:pt>
                <c:pt idx="109">
                  <c:v>3.9390000000000001</c:v>
                </c:pt>
                <c:pt idx="110">
                  <c:v>11.468999999999999</c:v>
                </c:pt>
                <c:pt idx="111">
                  <c:v>2.0099999999999998</c:v>
                </c:pt>
                <c:pt idx="112">
                  <c:v>0.89900000000000002</c:v>
                </c:pt>
                <c:pt idx="113">
                  <c:v>512.851</c:v>
                </c:pt>
                <c:pt idx="114">
                  <c:v>0.46700000000000003</c:v>
                </c:pt>
                <c:pt idx="115">
                  <c:v>7.1130000000000004</c:v>
                </c:pt>
                <c:pt idx="116">
                  <c:v>1.3959999999999999</c:v>
                </c:pt>
                <c:pt idx="117">
                  <c:v>7.9249999999999998</c:v>
                </c:pt>
                <c:pt idx="118">
                  <c:v>0.53</c:v>
                </c:pt>
                <c:pt idx="119">
                  <c:v>1327.931</c:v>
                </c:pt>
                <c:pt idx="120">
                  <c:v>15.923</c:v>
                </c:pt>
                <c:pt idx="121">
                  <c:v>3.2120000000000002</c:v>
                </c:pt>
                <c:pt idx="122">
                  <c:v>137.91999999999999</c:v>
                </c:pt>
                <c:pt idx="123">
                  <c:v>137.101</c:v>
                </c:pt>
                <c:pt idx="124">
                  <c:v>45.576000000000001</c:v>
                </c:pt>
                <c:pt idx="125">
                  <c:v>100.464</c:v>
                </c:pt>
                <c:pt idx="126">
                  <c:v>33.704000000000001</c:v>
                </c:pt>
                <c:pt idx="127">
                  <c:v>39.618000000000002</c:v>
                </c:pt>
                <c:pt idx="128">
                  <c:v>10.064</c:v>
                </c:pt>
                <c:pt idx="129">
                  <c:v>194.66200000000001</c:v>
                </c:pt>
                <c:pt idx="130">
                  <c:v>1.897</c:v>
                </c:pt>
                <c:pt idx="131">
                  <c:v>2.4049999999999998</c:v>
                </c:pt>
                <c:pt idx="132">
                  <c:v>91.677000000000007</c:v>
                </c:pt>
                <c:pt idx="133">
                  <c:v>126.771</c:v>
                </c:pt>
                <c:pt idx="134">
                  <c:v>26.78</c:v>
                </c:pt>
                <c:pt idx="135">
                  <c:v>0.86899999999999999</c:v>
                </c:pt>
                <c:pt idx="136">
                  <c:v>1.3420000000000001</c:v>
                </c:pt>
                <c:pt idx="137">
                  <c:v>28.245000000000001</c:v>
                </c:pt>
                <c:pt idx="138">
                  <c:v>8.4689999999999994</c:v>
                </c:pt>
                <c:pt idx="139">
                  <c:v>1658.059</c:v>
                </c:pt>
                <c:pt idx="140">
                  <c:v>16.565000000000001</c:v>
                </c:pt>
                <c:pt idx="141">
                  <c:v>3.0539999999999998</c:v>
                </c:pt>
                <c:pt idx="142">
                  <c:v>2.0470000000000002</c:v>
                </c:pt>
                <c:pt idx="143">
                  <c:v>0.33200000000000002</c:v>
                </c:pt>
                <c:pt idx="144">
                  <c:v>72.298000000000002</c:v>
                </c:pt>
                <c:pt idx="145">
                  <c:v>10.535</c:v>
                </c:pt>
                <c:pt idx="146">
                  <c:v>90.768000000000001</c:v>
                </c:pt>
                <c:pt idx="147">
                  <c:v>0.42499999999999999</c:v>
                </c:pt>
                <c:pt idx="148">
                  <c:v>12.08</c:v>
                </c:pt>
                <c:pt idx="149">
                  <c:v>166.67099999999999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06-4346-9D79-0B38164B5A23}"/>
            </c:ext>
          </c:extLst>
        </c:ser>
        <c:ser>
          <c:idx val="1"/>
          <c:order val="1"/>
          <c:tx>
            <c:strRef>
              <c:f>Foaie2!$C$1</c:f>
              <c:strCache>
                <c:ptCount val="1"/>
                <c:pt idx="0">
                  <c:v>time_2nf_sec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Foaie2!$C$2:$C$151</c:f>
              <c:numCache>
                <c:formatCode>General</c:formatCode>
                <c:ptCount val="150"/>
                <c:pt idx="0">
                  <c:v>2.5230000000000001</c:v>
                </c:pt>
                <c:pt idx="1">
                  <c:v>0.997</c:v>
                </c:pt>
                <c:pt idx="2">
                  <c:v>0.39700000000000002</c:v>
                </c:pt>
                <c:pt idx="3">
                  <c:v>0.33800000000000002</c:v>
                </c:pt>
                <c:pt idx="4">
                  <c:v>0.435</c:v>
                </c:pt>
                <c:pt idx="5">
                  <c:v>0.309</c:v>
                </c:pt>
                <c:pt idx="6">
                  <c:v>0.20899999999999999</c:v>
                </c:pt>
                <c:pt idx="7">
                  <c:v>0.57699999999999996</c:v>
                </c:pt>
                <c:pt idx="8">
                  <c:v>0.25800000000000001</c:v>
                </c:pt>
                <c:pt idx="9">
                  <c:v>0.255</c:v>
                </c:pt>
                <c:pt idx="10">
                  <c:v>8.3309999999999995</c:v>
                </c:pt>
                <c:pt idx="11">
                  <c:v>3.754</c:v>
                </c:pt>
                <c:pt idx="12">
                  <c:v>3.484</c:v>
                </c:pt>
                <c:pt idx="13">
                  <c:v>4.6079999999999997</c:v>
                </c:pt>
                <c:pt idx="14">
                  <c:v>3.573</c:v>
                </c:pt>
                <c:pt idx="15">
                  <c:v>3.7749999999999999</c:v>
                </c:pt>
                <c:pt idx="16">
                  <c:v>5.4480000000000004</c:v>
                </c:pt>
                <c:pt idx="17">
                  <c:v>2.3839999999999999</c:v>
                </c:pt>
                <c:pt idx="18">
                  <c:v>5.0519999999999996</c:v>
                </c:pt>
                <c:pt idx="19">
                  <c:v>4.1630000000000003</c:v>
                </c:pt>
                <c:pt idx="20">
                  <c:v>12.231999999999999</c:v>
                </c:pt>
                <c:pt idx="21">
                  <c:v>3.1859999999999999</c:v>
                </c:pt>
                <c:pt idx="22">
                  <c:v>8.4570000000000007</c:v>
                </c:pt>
                <c:pt idx="23">
                  <c:v>2.7349999999999999</c:v>
                </c:pt>
                <c:pt idx="24">
                  <c:v>2.9980000000000002</c:v>
                </c:pt>
                <c:pt idx="25">
                  <c:v>10.47</c:v>
                </c:pt>
                <c:pt idx="26">
                  <c:v>3.6579999999999999</c:v>
                </c:pt>
                <c:pt idx="27">
                  <c:v>16.635000000000002</c:v>
                </c:pt>
                <c:pt idx="28">
                  <c:v>3.702</c:v>
                </c:pt>
                <c:pt idx="29">
                  <c:v>4.1029999999999998</c:v>
                </c:pt>
                <c:pt idx="30">
                  <c:v>3.5870000000000002</c:v>
                </c:pt>
                <c:pt idx="31">
                  <c:v>2.806</c:v>
                </c:pt>
                <c:pt idx="32">
                  <c:v>2.6139999999999999</c:v>
                </c:pt>
                <c:pt idx="33">
                  <c:v>2.637</c:v>
                </c:pt>
                <c:pt idx="34">
                  <c:v>2.77</c:v>
                </c:pt>
                <c:pt idx="35">
                  <c:v>2.5219999999999998</c:v>
                </c:pt>
                <c:pt idx="36">
                  <c:v>2.4500000000000002</c:v>
                </c:pt>
                <c:pt idx="37">
                  <c:v>3.7330000000000001</c:v>
                </c:pt>
                <c:pt idx="38">
                  <c:v>2.4430000000000001</c:v>
                </c:pt>
                <c:pt idx="39">
                  <c:v>2.794</c:v>
                </c:pt>
                <c:pt idx="40">
                  <c:v>2.698</c:v>
                </c:pt>
                <c:pt idx="41">
                  <c:v>3.57</c:v>
                </c:pt>
                <c:pt idx="42">
                  <c:v>2.9049999999999998</c:v>
                </c:pt>
                <c:pt idx="43">
                  <c:v>3.1280000000000001</c:v>
                </c:pt>
                <c:pt idx="44">
                  <c:v>1.292</c:v>
                </c:pt>
                <c:pt idx="45">
                  <c:v>1.0389999999999999</c:v>
                </c:pt>
                <c:pt idx="46">
                  <c:v>3.5150000000000001</c:v>
                </c:pt>
                <c:pt idx="47">
                  <c:v>1.8149999999999999</c:v>
                </c:pt>
                <c:pt idx="48">
                  <c:v>3.25</c:v>
                </c:pt>
                <c:pt idx="49">
                  <c:v>1.1020000000000001</c:v>
                </c:pt>
                <c:pt idx="50">
                  <c:v>1.119</c:v>
                </c:pt>
                <c:pt idx="51">
                  <c:v>1.625</c:v>
                </c:pt>
                <c:pt idx="52">
                  <c:v>1.0309999999999999</c:v>
                </c:pt>
                <c:pt idx="53">
                  <c:v>1.0529999999999999</c:v>
                </c:pt>
                <c:pt idx="54">
                  <c:v>1.4319999999999999</c:v>
                </c:pt>
                <c:pt idx="55">
                  <c:v>1.887</c:v>
                </c:pt>
                <c:pt idx="56">
                  <c:v>1.6519999999999999</c:v>
                </c:pt>
                <c:pt idx="57">
                  <c:v>5.44</c:v>
                </c:pt>
                <c:pt idx="58">
                  <c:v>1.1930000000000001</c:v>
                </c:pt>
                <c:pt idx="59">
                  <c:v>1.0980000000000001</c:v>
                </c:pt>
                <c:pt idx="60">
                  <c:v>1.96</c:v>
                </c:pt>
                <c:pt idx="61">
                  <c:v>1.093</c:v>
                </c:pt>
                <c:pt idx="62">
                  <c:v>1.1220000000000001</c:v>
                </c:pt>
                <c:pt idx="63">
                  <c:v>0.46899999999999997</c:v>
                </c:pt>
                <c:pt idx="64">
                  <c:v>0.68600000000000005</c:v>
                </c:pt>
                <c:pt idx="65">
                  <c:v>1.4670000000000001</c:v>
                </c:pt>
                <c:pt idx="66">
                  <c:v>0.29899999999999999</c:v>
                </c:pt>
                <c:pt idx="67">
                  <c:v>0.214</c:v>
                </c:pt>
                <c:pt idx="68">
                  <c:v>1.02</c:v>
                </c:pt>
                <c:pt idx="69">
                  <c:v>1.526</c:v>
                </c:pt>
                <c:pt idx="70">
                  <c:v>4.4009999999999998</c:v>
                </c:pt>
                <c:pt idx="71">
                  <c:v>5.4829999999999997</c:v>
                </c:pt>
                <c:pt idx="72">
                  <c:v>3.0209999999999999</c:v>
                </c:pt>
                <c:pt idx="73">
                  <c:v>11.108000000000001</c:v>
                </c:pt>
                <c:pt idx="74">
                  <c:v>4.8849999999999998</c:v>
                </c:pt>
                <c:pt idx="75">
                  <c:v>3.1930000000000001</c:v>
                </c:pt>
                <c:pt idx="76">
                  <c:v>5.7160000000000002</c:v>
                </c:pt>
                <c:pt idx="77">
                  <c:v>6.1749999999999998</c:v>
                </c:pt>
                <c:pt idx="78">
                  <c:v>5.9409999999999998</c:v>
                </c:pt>
                <c:pt idx="79">
                  <c:v>4.7789999999999999</c:v>
                </c:pt>
                <c:pt idx="80">
                  <c:v>3.5960000000000001</c:v>
                </c:pt>
                <c:pt idx="81">
                  <c:v>0.17599999999999999</c:v>
                </c:pt>
                <c:pt idx="82">
                  <c:v>3.4140000000000001</c:v>
                </c:pt>
                <c:pt idx="83">
                  <c:v>0.107</c:v>
                </c:pt>
                <c:pt idx="84">
                  <c:v>3.6869999999999998</c:v>
                </c:pt>
                <c:pt idx="85">
                  <c:v>0.17</c:v>
                </c:pt>
                <c:pt idx="86">
                  <c:v>4.5679999999999996</c:v>
                </c:pt>
                <c:pt idx="87">
                  <c:v>0.17</c:v>
                </c:pt>
                <c:pt idx="88">
                  <c:v>2.7879999999999998</c:v>
                </c:pt>
                <c:pt idx="89">
                  <c:v>3.1</c:v>
                </c:pt>
                <c:pt idx="90">
                  <c:v>3.6520000000000001</c:v>
                </c:pt>
                <c:pt idx="91">
                  <c:v>0.44</c:v>
                </c:pt>
                <c:pt idx="92">
                  <c:v>3.81</c:v>
                </c:pt>
                <c:pt idx="93">
                  <c:v>0.42</c:v>
                </c:pt>
                <c:pt idx="94">
                  <c:v>3.988</c:v>
                </c:pt>
                <c:pt idx="95">
                  <c:v>0.375</c:v>
                </c:pt>
                <c:pt idx="96">
                  <c:v>0.99199999999999999</c:v>
                </c:pt>
                <c:pt idx="97">
                  <c:v>0.23</c:v>
                </c:pt>
                <c:pt idx="98">
                  <c:v>3.7949999999999999</c:v>
                </c:pt>
                <c:pt idx="99">
                  <c:v>0.111</c:v>
                </c:pt>
                <c:pt idx="100">
                  <c:v>0.96099999999999997</c:v>
                </c:pt>
                <c:pt idx="101">
                  <c:v>1.56</c:v>
                </c:pt>
                <c:pt idx="102">
                  <c:v>0.95699999999999996</c:v>
                </c:pt>
                <c:pt idx="103">
                  <c:v>1.536</c:v>
                </c:pt>
                <c:pt idx="104">
                  <c:v>1.3640000000000001</c:v>
                </c:pt>
                <c:pt idx="105">
                  <c:v>1.623</c:v>
                </c:pt>
                <c:pt idx="106">
                  <c:v>0.70299999999999996</c:v>
                </c:pt>
                <c:pt idx="107">
                  <c:v>1.903</c:v>
                </c:pt>
                <c:pt idx="108">
                  <c:v>1.2210000000000001</c:v>
                </c:pt>
                <c:pt idx="109">
                  <c:v>1.889</c:v>
                </c:pt>
                <c:pt idx="110">
                  <c:v>13.089</c:v>
                </c:pt>
                <c:pt idx="111">
                  <c:v>3.75</c:v>
                </c:pt>
                <c:pt idx="112">
                  <c:v>0.63500000000000001</c:v>
                </c:pt>
                <c:pt idx="113">
                  <c:v>10.584</c:v>
                </c:pt>
                <c:pt idx="114">
                  <c:v>0.40799999999999997</c:v>
                </c:pt>
                <c:pt idx="115">
                  <c:v>6.9560000000000004</c:v>
                </c:pt>
                <c:pt idx="116">
                  <c:v>2.4449999999999998</c:v>
                </c:pt>
                <c:pt idx="117">
                  <c:v>0.95399999999999996</c:v>
                </c:pt>
                <c:pt idx="118">
                  <c:v>0.41</c:v>
                </c:pt>
                <c:pt idx="119">
                  <c:v>11.023</c:v>
                </c:pt>
                <c:pt idx="120">
                  <c:v>4.556</c:v>
                </c:pt>
                <c:pt idx="121">
                  <c:v>5.6219999999999999</c:v>
                </c:pt>
                <c:pt idx="122">
                  <c:v>5.23</c:v>
                </c:pt>
                <c:pt idx="123">
                  <c:v>5.1680000000000001</c:v>
                </c:pt>
                <c:pt idx="124">
                  <c:v>6.0110000000000001</c:v>
                </c:pt>
                <c:pt idx="125">
                  <c:v>4.2859999999999996</c:v>
                </c:pt>
                <c:pt idx="126">
                  <c:v>1.387</c:v>
                </c:pt>
                <c:pt idx="127">
                  <c:v>2.516</c:v>
                </c:pt>
                <c:pt idx="128">
                  <c:v>3.3279999999999998</c:v>
                </c:pt>
                <c:pt idx="129">
                  <c:v>6.53</c:v>
                </c:pt>
                <c:pt idx="130">
                  <c:v>3.0350000000000001</c:v>
                </c:pt>
                <c:pt idx="131">
                  <c:v>4.4989999999999997</c:v>
                </c:pt>
                <c:pt idx="132">
                  <c:v>3.274</c:v>
                </c:pt>
                <c:pt idx="133">
                  <c:v>9.7249999999999996</c:v>
                </c:pt>
                <c:pt idx="134">
                  <c:v>2.165</c:v>
                </c:pt>
                <c:pt idx="135">
                  <c:v>0.67700000000000005</c:v>
                </c:pt>
                <c:pt idx="136">
                  <c:v>2.4580000000000002</c:v>
                </c:pt>
                <c:pt idx="137">
                  <c:v>2.2429999999999999</c:v>
                </c:pt>
                <c:pt idx="138">
                  <c:v>4.8789999999999996</c:v>
                </c:pt>
                <c:pt idx="139">
                  <c:v>15.625999999999999</c:v>
                </c:pt>
                <c:pt idx="140">
                  <c:v>6.04</c:v>
                </c:pt>
                <c:pt idx="141">
                  <c:v>5.1109999999999998</c:v>
                </c:pt>
                <c:pt idx="142">
                  <c:v>0.60099999999999998</c:v>
                </c:pt>
                <c:pt idx="143">
                  <c:v>0.253</c:v>
                </c:pt>
                <c:pt idx="144">
                  <c:v>3.7759999999999998</c:v>
                </c:pt>
                <c:pt idx="145">
                  <c:v>3.3849999999999998</c:v>
                </c:pt>
                <c:pt idx="146">
                  <c:v>4.1829999999999998</c:v>
                </c:pt>
                <c:pt idx="147">
                  <c:v>0.47499999999999998</c:v>
                </c:pt>
                <c:pt idx="148">
                  <c:v>8.0670000000000002</c:v>
                </c:pt>
                <c:pt idx="149">
                  <c:v>7.9480000000000004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6-4346-9D79-0B38164B5A23}"/>
            </c:ext>
          </c:extLst>
        </c:ser>
        <c:ser>
          <c:idx val="2"/>
          <c:order val="2"/>
          <c:tx>
            <c:strRef>
              <c:f>Foaie2!$D$1</c:f>
              <c:strCache>
                <c:ptCount val="1"/>
                <c:pt idx="0">
                  <c:v>time_3nf_sec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Foaie2!$D$2:$D$151</c:f>
              <c:numCache>
                <c:formatCode>General</c:formatCode>
                <c:ptCount val="150"/>
                <c:pt idx="0">
                  <c:v>1.946</c:v>
                </c:pt>
                <c:pt idx="1">
                  <c:v>0.80900000000000005</c:v>
                </c:pt>
                <c:pt idx="2">
                  <c:v>0.33400000000000002</c:v>
                </c:pt>
                <c:pt idx="3">
                  <c:v>0.26200000000000001</c:v>
                </c:pt>
                <c:pt idx="4">
                  <c:v>0.34799999999999998</c:v>
                </c:pt>
                <c:pt idx="5">
                  <c:v>0.23899999999999999</c:v>
                </c:pt>
                <c:pt idx="6">
                  <c:v>0.21299999999999999</c:v>
                </c:pt>
                <c:pt idx="7">
                  <c:v>0.57799999999999996</c:v>
                </c:pt>
                <c:pt idx="8">
                  <c:v>0.255</c:v>
                </c:pt>
                <c:pt idx="9">
                  <c:v>0.25</c:v>
                </c:pt>
                <c:pt idx="10">
                  <c:v>4.2729999999999997</c:v>
                </c:pt>
                <c:pt idx="11">
                  <c:v>2.1429999999999998</c:v>
                </c:pt>
                <c:pt idx="12">
                  <c:v>1.837</c:v>
                </c:pt>
                <c:pt idx="13">
                  <c:v>2.3460000000000001</c:v>
                </c:pt>
                <c:pt idx="14">
                  <c:v>1.7789999999999999</c:v>
                </c:pt>
                <c:pt idx="15">
                  <c:v>1.9359999999999999</c:v>
                </c:pt>
                <c:pt idx="16">
                  <c:v>2.7469999999999999</c:v>
                </c:pt>
                <c:pt idx="17">
                  <c:v>1.319</c:v>
                </c:pt>
                <c:pt idx="18">
                  <c:v>2.6040000000000001</c:v>
                </c:pt>
                <c:pt idx="19">
                  <c:v>2.1549999999999998</c:v>
                </c:pt>
                <c:pt idx="20">
                  <c:v>5.9569999999999999</c:v>
                </c:pt>
                <c:pt idx="21">
                  <c:v>1.6890000000000001</c:v>
                </c:pt>
                <c:pt idx="22">
                  <c:v>4.3479999999999999</c:v>
                </c:pt>
                <c:pt idx="23">
                  <c:v>1.7929999999999999</c:v>
                </c:pt>
                <c:pt idx="24">
                  <c:v>1.696</c:v>
                </c:pt>
                <c:pt idx="25">
                  <c:v>5.0250000000000004</c:v>
                </c:pt>
                <c:pt idx="26">
                  <c:v>1.9</c:v>
                </c:pt>
                <c:pt idx="27">
                  <c:v>8.1310000000000002</c:v>
                </c:pt>
                <c:pt idx="28">
                  <c:v>1.923</c:v>
                </c:pt>
                <c:pt idx="29">
                  <c:v>2.1480000000000001</c:v>
                </c:pt>
                <c:pt idx="30">
                  <c:v>1.514</c:v>
                </c:pt>
                <c:pt idx="31">
                  <c:v>1.2989999999999999</c:v>
                </c:pt>
                <c:pt idx="32">
                  <c:v>1.252</c:v>
                </c:pt>
                <c:pt idx="33">
                  <c:v>1.252</c:v>
                </c:pt>
                <c:pt idx="34">
                  <c:v>1.343</c:v>
                </c:pt>
                <c:pt idx="35">
                  <c:v>1.21</c:v>
                </c:pt>
                <c:pt idx="36">
                  <c:v>1.268</c:v>
                </c:pt>
                <c:pt idx="37">
                  <c:v>1.909</c:v>
                </c:pt>
                <c:pt idx="38">
                  <c:v>1.1659999999999999</c:v>
                </c:pt>
                <c:pt idx="39">
                  <c:v>1.3460000000000001</c:v>
                </c:pt>
                <c:pt idx="40">
                  <c:v>1.246</c:v>
                </c:pt>
                <c:pt idx="41">
                  <c:v>1.569</c:v>
                </c:pt>
                <c:pt idx="42">
                  <c:v>1.2989999999999999</c:v>
                </c:pt>
                <c:pt idx="43">
                  <c:v>1.4590000000000001</c:v>
                </c:pt>
                <c:pt idx="44">
                  <c:v>0.622</c:v>
                </c:pt>
                <c:pt idx="45">
                  <c:v>0.50800000000000001</c:v>
                </c:pt>
                <c:pt idx="46">
                  <c:v>1.706</c:v>
                </c:pt>
                <c:pt idx="47">
                  <c:v>0.85099999999999998</c:v>
                </c:pt>
                <c:pt idx="48">
                  <c:v>1.5249999999999999</c:v>
                </c:pt>
                <c:pt idx="49">
                  <c:v>0.53200000000000003</c:v>
                </c:pt>
                <c:pt idx="50">
                  <c:v>0.63800000000000001</c:v>
                </c:pt>
                <c:pt idx="51">
                  <c:v>0.92500000000000004</c:v>
                </c:pt>
                <c:pt idx="52">
                  <c:v>0.60499999999999998</c:v>
                </c:pt>
                <c:pt idx="53">
                  <c:v>0.66100000000000003</c:v>
                </c:pt>
                <c:pt idx="54">
                  <c:v>0.86599999999999999</c:v>
                </c:pt>
                <c:pt idx="55">
                  <c:v>1.111</c:v>
                </c:pt>
                <c:pt idx="56">
                  <c:v>0.79</c:v>
                </c:pt>
                <c:pt idx="57">
                  <c:v>2.7759999999999998</c:v>
                </c:pt>
                <c:pt idx="58">
                  <c:v>0.67900000000000005</c:v>
                </c:pt>
                <c:pt idx="59">
                  <c:v>0.63900000000000001</c:v>
                </c:pt>
                <c:pt idx="60">
                  <c:v>1.984</c:v>
                </c:pt>
                <c:pt idx="61">
                  <c:v>1.288</c:v>
                </c:pt>
                <c:pt idx="62">
                  <c:v>1.508</c:v>
                </c:pt>
                <c:pt idx="63">
                  <c:v>0.5</c:v>
                </c:pt>
                <c:pt idx="64">
                  <c:v>0.94299999999999995</c:v>
                </c:pt>
                <c:pt idx="65">
                  <c:v>1.617</c:v>
                </c:pt>
                <c:pt idx="66">
                  <c:v>0.34200000000000003</c:v>
                </c:pt>
                <c:pt idx="67">
                  <c:v>0.18</c:v>
                </c:pt>
                <c:pt idx="68">
                  <c:v>1.292</c:v>
                </c:pt>
                <c:pt idx="69">
                  <c:v>2.0790000000000002</c:v>
                </c:pt>
                <c:pt idx="70">
                  <c:v>2.2410000000000001</c:v>
                </c:pt>
                <c:pt idx="71">
                  <c:v>2.948</c:v>
                </c:pt>
                <c:pt idx="72">
                  <c:v>1.3340000000000001</c:v>
                </c:pt>
                <c:pt idx="73">
                  <c:v>5.51</c:v>
                </c:pt>
                <c:pt idx="74">
                  <c:v>2.6389999999999998</c:v>
                </c:pt>
                <c:pt idx="75">
                  <c:v>1.78</c:v>
                </c:pt>
                <c:pt idx="76">
                  <c:v>2.7360000000000002</c:v>
                </c:pt>
                <c:pt idx="77">
                  <c:v>3.5409999999999999</c:v>
                </c:pt>
                <c:pt idx="78">
                  <c:v>3.5840000000000001</c:v>
                </c:pt>
                <c:pt idx="79">
                  <c:v>3.0760000000000001</c:v>
                </c:pt>
                <c:pt idx="80">
                  <c:v>1.8480000000000001</c:v>
                </c:pt>
                <c:pt idx="81">
                  <c:v>0.214</c:v>
                </c:pt>
                <c:pt idx="82">
                  <c:v>1.7669999999999999</c:v>
                </c:pt>
                <c:pt idx="83">
                  <c:v>0.128</c:v>
                </c:pt>
                <c:pt idx="84">
                  <c:v>2.1139999999999999</c:v>
                </c:pt>
                <c:pt idx="85">
                  <c:v>0.23300000000000001</c:v>
                </c:pt>
                <c:pt idx="86">
                  <c:v>2.3010000000000002</c:v>
                </c:pt>
                <c:pt idx="87">
                  <c:v>0.192</c:v>
                </c:pt>
                <c:pt idx="88">
                  <c:v>1.7989999999999999</c:v>
                </c:pt>
                <c:pt idx="89">
                  <c:v>1.7549999999999999</c:v>
                </c:pt>
                <c:pt idx="90">
                  <c:v>1.8979999999999999</c:v>
                </c:pt>
                <c:pt idx="91">
                  <c:v>0.51700000000000002</c:v>
                </c:pt>
                <c:pt idx="92">
                  <c:v>2.129</c:v>
                </c:pt>
                <c:pt idx="93">
                  <c:v>0.495</c:v>
                </c:pt>
                <c:pt idx="94">
                  <c:v>2.23</c:v>
                </c:pt>
                <c:pt idx="95">
                  <c:v>0.439</c:v>
                </c:pt>
                <c:pt idx="96">
                  <c:v>0.86499999999999999</c:v>
                </c:pt>
                <c:pt idx="97">
                  <c:v>0.32</c:v>
                </c:pt>
                <c:pt idx="98">
                  <c:v>2.161</c:v>
                </c:pt>
                <c:pt idx="99">
                  <c:v>0.11899999999999999</c:v>
                </c:pt>
                <c:pt idx="100">
                  <c:v>0.56000000000000005</c:v>
                </c:pt>
                <c:pt idx="101">
                  <c:v>0.92</c:v>
                </c:pt>
                <c:pt idx="102">
                  <c:v>0.55200000000000005</c:v>
                </c:pt>
                <c:pt idx="103">
                  <c:v>1.0680000000000001</c:v>
                </c:pt>
                <c:pt idx="104">
                  <c:v>0.67800000000000005</c:v>
                </c:pt>
                <c:pt idx="105">
                  <c:v>1.1180000000000001</c:v>
                </c:pt>
                <c:pt idx="106">
                  <c:v>0.437</c:v>
                </c:pt>
                <c:pt idx="107">
                  <c:v>1.655</c:v>
                </c:pt>
                <c:pt idx="108">
                  <c:v>0.59199999999999997</c:v>
                </c:pt>
                <c:pt idx="109">
                  <c:v>1.1859999999999999</c:v>
                </c:pt>
                <c:pt idx="110">
                  <c:v>7.1429999999999998</c:v>
                </c:pt>
                <c:pt idx="111">
                  <c:v>2.2149999999999999</c:v>
                </c:pt>
                <c:pt idx="112">
                  <c:v>0.76500000000000001</c:v>
                </c:pt>
                <c:pt idx="113">
                  <c:v>5.6630000000000003</c:v>
                </c:pt>
                <c:pt idx="114">
                  <c:v>0.46500000000000002</c:v>
                </c:pt>
                <c:pt idx="115">
                  <c:v>3.3090000000000002</c:v>
                </c:pt>
                <c:pt idx="116">
                  <c:v>1.33</c:v>
                </c:pt>
                <c:pt idx="117">
                  <c:v>0.55500000000000005</c:v>
                </c:pt>
                <c:pt idx="118">
                  <c:v>0.52100000000000002</c:v>
                </c:pt>
                <c:pt idx="119">
                  <c:v>6.2729999999999997</c:v>
                </c:pt>
                <c:pt idx="120">
                  <c:v>2.7480000000000002</c:v>
                </c:pt>
                <c:pt idx="121">
                  <c:v>3.097</c:v>
                </c:pt>
                <c:pt idx="122">
                  <c:v>2.5920000000000001</c:v>
                </c:pt>
                <c:pt idx="123">
                  <c:v>3.1259999999999999</c:v>
                </c:pt>
                <c:pt idx="124">
                  <c:v>3.1840000000000002</c:v>
                </c:pt>
                <c:pt idx="125">
                  <c:v>2.8410000000000002</c:v>
                </c:pt>
                <c:pt idx="126">
                  <c:v>0.73099999999999998</c:v>
                </c:pt>
                <c:pt idx="127">
                  <c:v>1.5309999999999999</c:v>
                </c:pt>
                <c:pt idx="128">
                  <c:v>1.849</c:v>
                </c:pt>
                <c:pt idx="129">
                  <c:v>6.9859999999999998</c:v>
                </c:pt>
                <c:pt idx="130">
                  <c:v>1.819</c:v>
                </c:pt>
                <c:pt idx="131">
                  <c:v>2.335</c:v>
                </c:pt>
                <c:pt idx="132">
                  <c:v>2.214</c:v>
                </c:pt>
                <c:pt idx="133">
                  <c:v>5.4420000000000002</c:v>
                </c:pt>
                <c:pt idx="134">
                  <c:v>1.33</c:v>
                </c:pt>
                <c:pt idx="135">
                  <c:v>0.84499999999999997</c:v>
                </c:pt>
                <c:pt idx="136">
                  <c:v>1.35</c:v>
                </c:pt>
                <c:pt idx="137">
                  <c:v>1.4370000000000001</c:v>
                </c:pt>
                <c:pt idx="138">
                  <c:v>2.41</c:v>
                </c:pt>
                <c:pt idx="139">
                  <c:v>8.6259999999999994</c:v>
                </c:pt>
                <c:pt idx="140">
                  <c:v>3.8079999999999998</c:v>
                </c:pt>
                <c:pt idx="141">
                  <c:v>3.2130000000000001</c:v>
                </c:pt>
                <c:pt idx="142">
                  <c:v>0.80400000000000005</c:v>
                </c:pt>
                <c:pt idx="143">
                  <c:v>0.29699999999999999</c:v>
                </c:pt>
                <c:pt idx="144">
                  <c:v>2.2109999999999999</c:v>
                </c:pt>
                <c:pt idx="145">
                  <c:v>1.9059999999999999</c:v>
                </c:pt>
                <c:pt idx="146">
                  <c:v>2.722</c:v>
                </c:pt>
                <c:pt idx="147">
                  <c:v>0.72899999999999998</c:v>
                </c:pt>
                <c:pt idx="148">
                  <c:v>4.22</c:v>
                </c:pt>
                <c:pt idx="149">
                  <c:v>4.6689999999999996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06-4346-9D79-0B38164B5A2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865760"/>
        <c:axId val="1785885440"/>
      </c:lineChart>
      <c:catAx>
        <c:axId val="178586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Numărul interogării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85440"/>
        <c:crosses val="autoZero"/>
        <c:auto val="1"/>
        <c:lblAlgn val="ctr"/>
        <c:lblOffset val="100"/>
        <c:noMultiLvlLbl val="0"/>
      </c:catAx>
      <c:valAx>
        <c:axId val="17858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Timp execuție (secunde)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6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Figura 3.2 - Media timpilor de execuție pe tipar analitic (sec)</a:t>
            </a:r>
            <a:endParaRPr lang="en-US"/>
          </a:p>
        </c:rich>
      </c:tx>
      <c:layout>
        <c:manualLayout>
          <c:xMode val="edge"/>
          <c:yMode val="edge"/>
          <c:x val="0.15179565818854565"/>
          <c:y val="1.8858655367972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Foaie2!$H$23</c:f>
              <c:strCache>
                <c:ptCount val="1"/>
                <c:pt idx="0">
                  <c:v>1NF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Foaie2!$G$24:$G$28</c:f>
              <c:strCache>
                <c:ptCount val="5"/>
                <c:pt idx="0">
                  <c:v>Filtrare si ordonare</c:v>
                </c:pt>
                <c:pt idx="1">
                  <c:v>Agregre COUNT</c:v>
                </c:pt>
                <c:pt idx="2">
                  <c:v>Agregare SUM</c:v>
                </c:pt>
                <c:pt idx="3">
                  <c:v>Filtrare grupuri HAVING</c:v>
                </c:pt>
                <c:pt idx="4">
                  <c:v>Valori extreme MIN/MAX</c:v>
                </c:pt>
              </c:strCache>
            </c:strRef>
          </c:cat>
          <c:val>
            <c:numRef>
              <c:f>Foaie2!$H$24:$H$28</c:f>
              <c:numCache>
                <c:formatCode>0.000</c:formatCode>
                <c:ptCount val="5"/>
                <c:pt idx="0">
                  <c:v>2.3338999999999999</c:v>
                </c:pt>
                <c:pt idx="1">
                  <c:v>63.453699999999998</c:v>
                </c:pt>
                <c:pt idx="2">
                  <c:v>26.8461</c:v>
                </c:pt>
                <c:pt idx="3">
                  <c:v>95.671099999999996</c:v>
                </c:pt>
                <c:pt idx="4">
                  <c:v>37.529566666666668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F-4B69-95DA-536E862C0137}"/>
            </c:ext>
          </c:extLst>
        </c:ser>
        <c:ser>
          <c:idx val="1"/>
          <c:order val="1"/>
          <c:tx>
            <c:strRef>
              <c:f>Foaie2!$I$23</c:f>
              <c:strCache>
                <c:ptCount val="1"/>
                <c:pt idx="0">
                  <c:v>2NF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Foaie2!$G$24:$G$28</c:f>
              <c:strCache>
                <c:ptCount val="5"/>
                <c:pt idx="0">
                  <c:v>Filtrare si ordonare</c:v>
                </c:pt>
                <c:pt idx="1">
                  <c:v>Agregre COUNT</c:v>
                </c:pt>
                <c:pt idx="2">
                  <c:v>Agregare SUM</c:v>
                </c:pt>
                <c:pt idx="3">
                  <c:v>Filtrare grupuri HAVING</c:v>
                </c:pt>
                <c:pt idx="4">
                  <c:v>Valori extreme MIN/MAX</c:v>
                </c:pt>
              </c:strCache>
            </c:strRef>
          </c:cat>
          <c:val>
            <c:numRef>
              <c:f>Foaie2!$I$24:$I$28</c:f>
              <c:numCache>
                <c:formatCode>0.000</c:formatCode>
                <c:ptCount val="5"/>
                <c:pt idx="0">
                  <c:v>1.2515000000000003</c:v>
                </c:pt>
                <c:pt idx="1">
                  <c:v>3.4894000000000003</c:v>
                </c:pt>
                <c:pt idx="2">
                  <c:v>5.5837333333333321</c:v>
                </c:pt>
                <c:pt idx="3">
                  <c:v>3.290433333333334</c:v>
                </c:pt>
                <c:pt idx="4">
                  <c:v>2.7321999999999993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F-4B69-95DA-536E862C0137}"/>
            </c:ext>
          </c:extLst>
        </c:ser>
        <c:ser>
          <c:idx val="2"/>
          <c:order val="2"/>
          <c:tx>
            <c:strRef>
              <c:f>Foaie2!$J$23</c:f>
              <c:strCache>
                <c:ptCount val="1"/>
                <c:pt idx="0">
                  <c:v>3NF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Foaie2!$G$24:$G$28</c:f>
              <c:strCache>
                <c:ptCount val="5"/>
                <c:pt idx="0">
                  <c:v>Filtrare si ordonare</c:v>
                </c:pt>
                <c:pt idx="1">
                  <c:v>Agregre COUNT</c:v>
                </c:pt>
                <c:pt idx="2">
                  <c:v>Agregare SUM</c:v>
                </c:pt>
                <c:pt idx="3">
                  <c:v>Filtrare grupuri HAVING</c:v>
                </c:pt>
                <c:pt idx="4">
                  <c:v>Valori extreme MIN/MAX</c:v>
                </c:pt>
              </c:strCache>
            </c:strRef>
          </c:cat>
          <c:val>
            <c:numRef>
              <c:f>Foaie2!$J$24:$J$28</c:f>
              <c:numCache>
                <c:formatCode>0.000</c:formatCode>
                <c:ptCount val="5"/>
                <c:pt idx="0">
                  <c:v>0.78966666666666674</c:v>
                </c:pt>
                <c:pt idx="1">
                  <c:v>2.1037000000000003</c:v>
                </c:pt>
                <c:pt idx="2">
                  <c:v>3.0894666666666666</c:v>
                </c:pt>
                <c:pt idx="3">
                  <c:v>1.7906</c:v>
                </c:pt>
                <c:pt idx="4">
                  <c:v>1.5689666666666666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F-4B69-95DA-536E862C01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3297936"/>
        <c:axId val="1273296016"/>
      </c:barChart>
      <c:catAx>
        <c:axId val="127329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Tipar analitic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296016"/>
        <c:crosses val="autoZero"/>
        <c:auto val="1"/>
        <c:lblAlgn val="ctr"/>
        <c:lblOffset val="100"/>
        <c:noMultiLvlLbl val="0"/>
      </c:catAx>
      <c:valAx>
        <c:axId val="12732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Timp mediu (secunde)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29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Figura 3.1 - Media timpilor de execuție pe nivel de complexitate (secunde)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Foaie2!$H$16</c:f>
              <c:strCache>
                <c:ptCount val="1"/>
                <c:pt idx="0">
                  <c:v>1NF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Foaie2!$G$17:$G$19</c:f>
              <c:strCache>
                <c:ptCount val="3"/>
                <c:pt idx="0">
                  <c:v>Complexitate mica (Q1-Q50, 1 JOIN)</c:v>
                </c:pt>
                <c:pt idx="1">
                  <c:v>Complexitate medie (Q51-Q100, 2 JOIN-uri)</c:v>
                </c:pt>
                <c:pt idx="2">
                  <c:v>Complexitate mare (Q101-Q150, 3+ JOIN-uri)</c:v>
                </c:pt>
              </c:strCache>
            </c:strRef>
          </c:cat>
          <c:val>
            <c:numRef>
              <c:f>Foaie2!$H$17:$H$19</c:f>
              <c:numCache>
                <c:formatCode>0.000</c:formatCode>
                <c:ptCount val="3"/>
                <c:pt idx="0">
                  <c:v>34.930919999999993</c:v>
                </c:pt>
                <c:pt idx="1">
                  <c:v>1.6745599999999989</c:v>
                </c:pt>
                <c:pt idx="2">
                  <c:v>98.895140000000012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F-4182-AC4D-2263896F4980}"/>
            </c:ext>
          </c:extLst>
        </c:ser>
        <c:ser>
          <c:idx val="1"/>
          <c:order val="1"/>
          <c:tx>
            <c:strRef>
              <c:f>Foaie2!$I$16</c:f>
              <c:strCache>
                <c:ptCount val="1"/>
                <c:pt idx="0">
                  <c:v>2NF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Foaie2!$G$17:$G$19</c:f>
              <c:strCache>
                <c:ptCount val="3"/>
                <c:pt idx="0">
                  <c:v>Complexitate mica (Q1-Q50, 1 JOIN)</c:v>
                </c:pt>
                <c:pt idx="1">
                  <c:v>Complexitate medie (Q51-Q100, 2 JOIN-uri)</c:v>
                </c:pt>
                <c:pt idx="2">
                  <c:v>Complexitate mare (Q101-Q150, 3+ JOIN-uri)</c:v>
                </c:pt>
              </c:strCache>
            </c:strRef>
          </c:cat>
          <c:val>
            <c:numRef>
              <c:f>Foaie2!$I$17:$I$19</c:f>
              <c:numCache>
                <c:formatCode>0.000</c:formatCode>
                <c:ptCount val="3"/>
                <c:pt idx="0">
                  <c:v>3.43432</c:v>
                </c:pt>
                <c:pt idx="1">
                  <c:v>2.4335400000000003</c:v>
                </c:pt>
                <c:pt idx="2">
                  <c:v>3.9404999999999988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F-4182-AC4D-2263896F4980}"/>
            </c:ext>
          </c:extLst>
        </c:ser>
        <c:ser>
          <c:idx val="2"/>
          <c:order val="2"/>
          <c:tx>
            <c:strRef>
              <c:f>Foaie2!$J$16</c:f>
              <c:strCache>
                <c:ptCount val="1"/>
                <c:pt idx="0">
                  <c:v>3NF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Foaie2!$G$17:$G$19</c:f>
              <c:strCache>
                <c:ptCount val="3"/>
                <c:pt idx="0">
                  <c:v>Complexitate mica (Q1-Q50, 1 JOIN)</c:v>
                </c:pt>
                <c:pt idx="1">
                  <c:v>Complexitate medie (Q51-Q100, 2 JOIN-uri)</c:v>
                </c:pt>
                <c:pt idx="2">
                  <c:v>Complexitate mare (Q101-Q150, 3+ JOIN-uri)</c:v>
                </c:pt>
              </c:strCache>
            </c:strRef>
          </c:cat>
          <c:val>
            <c:numRef>
              <c:f>Foaie2!$J$17:$J$19</c:f>
              <c:numCache>
                <c:formatCode>0.000</c:formatCode>
                <c:ptCount val="3"/>
                <c:pt idx="0">
                  <c:v>1.7571800000000002</c:v>
                </c:pt>
                <c:pt idx="1">
                  <c:v>1.4867199999999996</c:v>
                </c:pt>
                <c:pt idx="2">
                  <c:v>2.3615399999999989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F-4182-AC4D-2263896F49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2281472"/>
        <c:axId val="1902272352"/>
      </c:barChart>
      <c:catAx>
        <c:axId val="190228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Nivel de complexitate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2745547025101"/>
              <c:y val="0.82947729065650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72352"/>
        <c:crosses val="autoZero"/>
        <c:auto val="1"/>
        <c:lblAlgn val="ctr"/>
        <c:lblOffset val="100"/>
        <c:noMultiLvlLbl val="0"/>
      </c:catAx>
      <c:valAx>
        <c:axId val="19022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Timp mediu (secunde)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8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Figura 3.1 - Mediana timpilor de execuție pe nivel de complexitate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Foaie2!$H$32</c:f>
              <c:strCache>
                <c:ptCount val="1"/>
                <c:pt idx="0">
                  <c:v>1NF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Foaie2!$G$33:$G$35</c:f>
              <c:strCache>
                <c:ptCount val="3"/>
                <c:pt idx="0">
                  <c:v>Complexitate mica (Q1-Q50, 1 JOIN)</c:v>
                </c:pt>
                <c:pt idx="1">
                  <c:v>Complexitate medie (Q51-Q100, 2 JOIN-uri)</c:v>
                </c:pt>
                <c:pt idx="2">
                  <c:v>Complexitate mare (Q101-Q150, 3+ JOIN-uri)</c:v>
                </c:pt>
              </c:strCache>
            </c:strRef>
          </c:cat>
          <c:val>
            <c:numRef>
              <c:f>Foaie2!$H$33:$H$35</c:f>
              <c:numCache>
                <c:formatCode>0.000</c:formatCode>
                <c:ptCount val="3"/>
                <c:pt idx="0">
                  <c:v>3.899</c:v>
                </c:pt>
                <c:pt idx="1">
                  <c:v>1.81</c:v>
                </c:pt>
                <c:pt idx="2">
                  <c:v>16.244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C-4D63-84EC-23BB6FF74DDD}"/>
            </c:ext>
          </c:extLst>
        </c:ser>
        <c:ser>
          <c:idx val="1"/>
          <c:order val="1"/>
          <c:tx>
            <c:strRef>
              <c:f>Foaie2!$I$32</c:f>
              <c:strCache>
                <c:ptCount val="1"/>
                <c:pt idx="0">
                  <c:v>2NF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Foaie2!$G$33:$G$35</c:f>
              <c:strCache>
                <c:ptCount val="3"/>
                <c:pt idx="0">
                  <c:v>Complexitate mica (Q1-Q50, 1 JOIN)</c:v>
                </c:pt>
                <c:pt idx="1">
                  <c:v>Complexitate medie (Q51-Q100, 2 JOIN-uri)</c:v>
                </c:pt>
                <c:pt idx="2">
                  <c:v>Complexitate mare (Q101-Q150, 3+ JOIN-uri)</c:v>
                </c:pt>
              </c:strCache>
            </c:strRef>
          </c:cat>
          <c:val>
            <c:numRef>
              <c:f>Foaie2!$I$33:$I$35</c:f>
              <c:numCache>
                <c:formatCode>0.000</c:formatCode>
                <c:ptCount val="3"/>
                <c:pt idx="0">
                  <c:v>2.6675</c:v>
                </c:pt>
                <c:pt idx="1">
                  <c:v>1.8959999999999999</c:v>
                </c:pt>
                <c:pt idx="2">
                  <c:v>3.5804999999999998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C-4D63-84EC-23BB6FF74DDD}"/>
            </c:ext>
          </c:extLst>
        </c:ser>
        <c:ser>
          <c:idx val="2"/>
          <c:order val="2"/>
          <c:tx>
            <c:strRef>
              <c:f>Foaie2!$J$32</c:f>
              <c:strCache>
                <c:ptCount val="1"/>
                <c:pt idx="0">
                  <c:v>3NF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Foaie2!$G$33:$G$35</c:f>
              <c:strCache>
                <c:ptCount val="3"/>
                <c:pt idx="0">
                  <c:v>Complexitate mica (Q1-Q50, 1 JOIN)</c:v>
                </c:pt>
                <c:pt idx="1">
                  <c:v>Complexitate medie (Q51-Q100, 2 JOIN-uri)</c:v>
                </c:pt>
                <c:pt idx="2">
                  <c:v>Complexitate mare (Q101-Q150, 3+ JOIN-uri)</c:v>
                </c:pt>
              </c:strCache>
            </c:strRef>
          </c:cat>
          <c:val>
            <c:numRef>
              <c:f>Foaie2!$J$33:$J$35</c:f>
              <c:numCache>
                <c:formatCode>0.000</c:formatCode>
                <c:ptCount val="3"/>
                <c:pt idx="0">
                  <c:v>1.331</c:v>
                </c:pt>
                <c:pt idx="1">
                  <c:v>1.4944999999999999</c:v>
                </c:pt>
                <c:pt idx="2">
                  <c:v>2.2124999999999999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C-4D63-84EC-23BB6FF74D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2312672"/>
        <c:axId val="1902304512"/>
      </c:barChart>
      <c:catAx>
        <c:axId val="190231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Nivel de complexitate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04512"/>
        <c:crosses val="autoZero"/>
        <c:auto val="1"/>
        <c:lblAlgn val="ctr"/>
        <c:lblOffset val="100"/>
        <c:noMultiLvlLbl val="0"/>
      </c:catAx>
      <c:valAx>
        <c:axId val="19023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Timp de execuție (secunde)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1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1553204</xdr:colOff>
      <xdr:row>60</xdr:row>
      <xdr:rowOff>11127</xdr:rowOff>
    </xdr:from>
    <xdr:to>
      <xdr:col>21</xdr:col>
      <xdr:colOff>186557</xdr:colOff>
      <xdr:row>97</xdr:row>
      <xdr:rowOff>51392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B5761BF6-877D-116B-79F0-272B9BFE4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340139</xdr:colOff>
      <xdr:row>32</xdr:row>
      <xdr:rowOff>157269</xdr:rowOff>
    </xdr:from>
    <xdr:to>
      <xdr:col>25</xdr:col>
      <xdr:colOff>31570</xdr:colOff>
      <xdr:row>55</xdr:row>
      <xdr:rowOff>120866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C7355CA8-542C-54AA-8599-9FA77FAD0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477241</xdr:colOff>
      <xdr:row>7</xdr:row>
      <xdr:rowOff>86917</xdr:rowOff>
    </xdr:from>
    <xdr:to>
      <xdr:col>25</xdr:col>
      <xdr:colOff>0</xdr:colOff>
      <xdr:row>30</xdr:row>
      <xdr:rowOff>19842</xdr:rowOff>
    </xdr:to>
    <xdr:graphicFrame macro="">
      <xdr:nvGraphicFramePr>
        <xdr:cNvPr id="5" name="Diagramă 4">
          <a:extLst>
            <a:ext uri="{FF2B5EF4-FFF2-40B4-BE49-F238E27FC236}">
              <a16:creationId xmlns:a16="http://schemas.microsoft.com/office/drawing/2014/main" id="{33D4BAED-1977-86E7-4694-663CE8169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1457634</xdr:colOff>
      <xdr:row>38</xdr:row>
      <xdr:rowOff>2004</xdr:rowOff>
    </xdr:from>
    <xdr:to>
      <xdr:col>13</xdr:col>
      <xdr:colOff>97397</xdr:colOff>
      <xdr:row>57</xdr:row>
      <xdr:rowOff>108857</xdr:rowOff>
    </xdr:to>
    <xdr:graphicFrame macro="">
      <xdr:nvGraphicFramePr>
        <xdr:cNvPr id="6" name="Diagramă 5">
          <a:extLst>
            <a:ext uri="{FF2B5EF4-FFF2-40B4-BE49-F238E27FC236}">
              <a16:creationId xmlns:a16="http://schemas.microsoft.com/office/drawing/2014/main" id="{9B013196-F9C7-94F7-8D5A-BF2F42468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256B-B1CB-4AFC-B359-E1854AB8BD46}">
  <dimension ref="A1:Q151"/>
  <sheetViews>
    <sheetView workbookViewId="0">
      <selection activeCell="C1" sqref="C1"/>
    </sheetView>
  </sheetViews>
  <sheetFormatPr defaultRowHeight="14.5" x14ac:dyDescent="0.35"/>
  <cols>
    <col min="3" max="3" width="39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1781697980843</v>
      </c>
      <c r="B2">
        <v>1946</v>
      </c>
      <c r="C2" t="s">
        <v>17</v>
      </c>
      <c r="D2">
        <v>200</v>
      </c>
      <c r="E2" t="s">
        <v>18</v>
      </c>
      <c r="F2" t="s">
        <v>19</v>
      </c>
      <c r="G2" t="b">
        <v>1</v>
      </c>
      <c r="I2">
        <v>55687</v>
      </c>
      <c r="J2">
        <v>0</v>
      </c>
      <c r="K2">
        <v>1</v>
      </c>
      <c r="L2">
        <v>1</v>
      </c>
      <c r="M2" t="s">
        <v>20</v>
      </c>
      <c r="N2">
        <v>1880</v>
      </c>
      <c r="O2">
        <v>0</v>
      </c>
      <c r="P2">
        <v>0</v>
      </c>
      <c r="Q2">
        <v>1000</v>
      </c>
    </row>
    <row r="3" spans="1:17" x14ac:dyDescent="0.35">
      <c r="A3">
        <v>1781697982792</v>
      </c>
      <c r="B3">
        <v>809</v>
      </c>
      <c r="C3" t="s">
        <v>21</v>
      </c>
      <c r="D3">
        <v>200</v>
      </c>
      <c r="E3" t="s">
        <v>18</v>
      </c>
      <c r="F3" t="s">
        <v>19</v>
      </c>
      <c r="G3" t="b">
        <v>1</v>
      </c>
      <c r="I3">
        <v>55745</v>
      </c>
      <c r="J3">
        <v>0</v>
      </c>
      <c r="K3">
        <v>1</v>
      </c>
      <c r="L3">
        <v>1</v>
      </c>
      <c r="M3" t="s">
        <v>20</v>
      </c>
      <c r="N3">
        <v>799</v>
      </c>
      <c r="O3">
        <v>0</v>
      </c>
      <c r="P3">
        <v>0</v>
      </c>
      <c r="Q3">
        <v>1000</v>
      </c>
    </row>
    <row r="4" spans="1:17" x14ac:dyDescent="0.35">
      <c r="A4">
        <v>1781697983602</v>
      </c>
      <c r="B4">
        <v>334</v>
      </c>
      <c r="C4" t="s">
        <v>22</v>
      </c>
      <c r="D4">
        <v>200</v>
      </c>
      <c r="E4" t="s">
        <v>18</v>
      </c>
      <c r="F4" t="s">
        <v>19</v>
      </c>
      <c r="G4" t="b">
        <v>1</v>
      </c>
      <c r="I4">
        <v>47859</v>
      </c>
      <c r="J4">
        <v>0</v>
      </c>
      <c r="K4">
        <v>1</v>
      </c>
      <c r="L4">
        <v>1</v>
      </c>
      <c r="M4" t="s">
        <v>20</v>
      </c>
      <c r="N4">
        <v>327</v>
      </c>
      <c r="O4">
        <v>0</v>
      </c>
      <c r="P4">
        <v>0</v>
      </c>
      <c r="Q4">
        <v>1000</v>
      </c>
    </row>
    <row r="5" spans="1:17" x14ac:dyDescent="0.35">
      <c r="A5">
        <v>1781697983937</v>
      </c>
      <c r="B5">
        <v>262</v>
      </c>
      <c r="C5" t="s">
        <v>23</v>
      </c>
      <c r="D5">
        <v>200</v>
      </c>
      <c r="E5" t="s">
        <v>18</v>
      </c>
      <c r="F5" t="s">
        <v>19</v>
      </c>
      <c r="G5" t="b">
        <v>1</v>
      </c>
      <c r="I5">
        <v>57464</v>
      </c>
      <c r="J5">
        <v>0</v>
      </c>
      <c r="K5">
        <v>1</v>
      </c>
      <c r="L5">
        <v>1</v>
      </c>
      <c r="M5" t="s">
        <v>20</v>
      </c>
      <c r="N5">
        <v>255</v>
      </c>
      <c r="O5">
        <v>0</v>
      </c>
      <c r="P5">
        <v>0</v>
      </c>
      <c r="Q5">
        <v>1000</v>
      </c>
    </row>
    <row r="6" spans="1:17" x14ac:dyDescent="0.35">
      <c r="A6">
        <v>1781697984201</v>
      </c>
      <c r="B6">
        <v>348</v>
      </c>
      <c r="C6" t="s">
        <v>24</v>
      </c>
      <c r="D6">
        <v>200</v>
      </c>
      <c r="E6" t="s">
        <v>18</v>
      </c>
      <c r="F6" t="s">
        <v>19</v>
      </c>
      <c r="G6" t="b">
        <v>1</v>
      </c>
      <c r="I6">
        <v>57236</v>
      </c>
      <c r="J6">
        <v>0</v>
      </c>
      <c r="K6">
        <v>1</v>
      </c>
      <c r="L6">
        <v>1</v>
      </c>
      <c r="M6" t="s">
        <v>20</v>
      </c>
      <c r="N6">
        <v>344</v>
      </c>
      <c r="O6">
        <v>0</v>
      </c>
      <c r="P6">
        <v>0</v>
      </c>
      <c r="Q6">
        <v>1000</v>
      </c>
    </row>
    <row r="7" spans="1:17" x14ac:dyDescent="0.35">
      <c r="A7">
        <v>1781697984551</v>
      </c>
      <c r="B7">
        <v>239</v>
      </c>
      <c r="C7" t="s">
        <v>25</v>
      </c>
      <c r="D7">
        <v>200</v>
      </c>
      <c r="E7" t="s">
        <v>18</v>
      </c>
      <c r="F7" t="s">
        <v>19</v>
      </c>
      <c r="G7" t="b">
        <v>1</v>
      </c>
      <c r="I7">
        <v>63717</v>
      </c>
      <c r="J7">
        <v>0</v>
      </c>
      <c r="K7">
        <v>1</v>
      </c>
      <c r="L7">
        <v>1</v>
      </c>
      <c r="M7" t="s">
        <v>20</v>
      </c>
      <c r="N7">
        <v>233</v>
      </c>
      <c r="O7">
        <v>0</v>
      </c>
      <c r="P7">
        <v>0</v>
      </c>
      <c r="Q7">
        <v>1000</v>
      </c>
    </row>
    <row r="8" spans="1:17" x14ac:dyDescent="0.35">
      <c r="A8">
        <v>1781697984791</v>
      </c>
      <c r="B8">
        <v>213</v>
      </c>
      <c r="C8" t="s">
        <v>26</v>
      </c>
      <c r="D8">
        <v>200</v>
      </c>
      <c r="E8" t="s">
        <v>18</v>
      </c>
      <c r="F8" t="s">
        <v>19</v>
      </c>
      <c r="G8" t="b">
        <v>1</v>
      </c>
      <c r="I8">
        <v>63363</v>
      </c>
      <c r="J8">
        <v>0</v>
      </c>
      <c r="K8">
        <v>1</v>
      </c>
      <c r="L8">
        <v>1</v>
      </c>
      <c r="M8" t="s">
        <v>20</v>
      </c>
      <c r="N8">
        <v>207</v>
      </c>
      <c r="O8">
        <v>0</v>
      </c>
      <c r="P8">
        <v>0</v>
      </c>
      <c r="Q8">
        <v>1000</v>
      </c>
    </row>
    <row r="9" spans="1:17" x14ac:dyDescent="0.35">
      <c r="A9">
        <v>1781697985006</v>
      </c>
      <c r="B9">
        <v>578</v>
      </c>
      <c r="C9" t="s">
        <v>27</v>
      </c>
      <c r="D9">
        <v>200</v>
      </c>
      <c r="E9" t="s">
        <v>18</v>
      </c>
      <c r="F9" t="s">
        <v>19</v>
      </c>
      <c r="G9" t="b">
        <v>1</v>
      </c>
      <c r="I9">
        <v>55522</v>
      </c>
      <c r="J9">
        <v>0</v>
      </c>
      <c r="K9">
        <v>1</v>
      </c>
      <c r="L9">
        <v>1</v>
      </c>
      <c r="M9" t="s">
        <v>20</v>
      </c>
      <c r="N9">
        <v>574</v>
      </c>
      <c r="O9">
        <v>0</v>
      </c>
      <c r="P9">
        <v>0</v>
      </c>
      <c r="Q9">
        <v>1000</v>
      </c>
    </row>
    <row r="10" spans="1:17" x14ac:dyDescent="0.35">
      <c r="A10">
        <v>1781697985586</v>
      </c>
      <c r="B10">
        <v>255</v>
      </c>
      <c r="C10" t="s">
        <v>28</v>
      </c>
      <c r="D10">
        <v>200</v>
      </c>
      <c r="E10" t="s">
        <v>18</v>
      </c>
      <c r="F10" t="s">
        <v>19</v>
      </c>
      <c r="G10" t="b">
        <v>1</v>
      </c>
      <c r="I10">
        <v>63435</v>
      </c>
      <c r="J10">
        <v>0</v>
      </c>
      <c r="K10">
        <v>1</v>
      </c>
      <c r="L10">
        <v>1</v>
      </c>
      <c r="M10" t="s">
        <v>20</v>
      </c>
      <c r="N10">
        <v>253</v>
      </c>
      <c r="O10">
        <v>0</v>
      </c>
      <c r="P10">
        <v>0</v>
      </c>
      <c r="Q10">
        <v>1000</v>
      </c>
    </row>
    <row r="11" spans="1:17" x14ac:dyDescent="0.35">
      <c r="A11">
        <v>1781697985843</v>
      </c>
      <c r="B11">
        <v>250</v>
      </c>
      <c r="C11" t="s">
        <v>29</v>
      </c>
      <c r="D11">
        <v>200</v>
      </c>
      <c r="E11" t="s">
        <v>18</v>
      </c>
      <c r="F11" t="s">
        <v>19</v>
      </c>
      <c r="G11" t="b">
        <v>1</v>
      </c>
      <c r="I11">
        <v>57882</v>
      </c>
      <c r="J11">
        <v>0</v>
      </c>
      <c r="K11">
        <v>1</v>
      </c>
      <c r="L11">
        <v>1</v>
      </c>
      <c r="M11" t="s">
        <v>20</v>
      </c>
      <c r="N11">
        <v>246</v>
      </c>
      <c r="O11">
        <v>0</v>
      </c>
      <c r="P11">
        <v>0</v>
      </c>
      <c r="Q11">
        <v>1000</v>
      </c>
    </row>
    <row r="12" spans="1:17" x14ac:dyDescent="0.35">
      <c r="A12">
        <v>1781697986095</v>
      </c>
      <c r="B12">
        <v>4273</v>
      </c>
      <c r="C12" t="s">
        <v>30</v>
      </c>
      <c r="D12">
        <v>200</v>
      </c>
      <c r="E12" t="s">
        <v>18</v>
      </c>
      <c r="F12" t="s">
        <v>19</v>
      </c>
      <c r="G12" t="b">
        <v>1</v>
      </c>
      <c r="I12">
        <v>165</v>
      </c>
      <c r="J12">
        <v>0</v>
      </c>
      <c r="K12">
        <v>1</v>
      </c>
      <c r="L12">
        <v>1</v>
      </c>
      <c r="M12" t="s">
        <v>20</v>
      </c>
      <c r="N12">
        <v>4269</v>
      </c>
      <c r="O12">
        <v>0</v>
      </c>
      <c r="P12">
        <v>0</v>
      </c>
      <c r="Q12">
        <v>7</v>
      </c>
    </row>
    <row r="13" spans="1:17" x14ac:dyDescent="0.35">
      <c r="A13">
        <v>1781697990377</v>
      </c>
      <c r="B13">
        <v>2143</v>
      </c>
      <c r="C13" t="s">
        <v>31</v>
      </c>
      <c r="D13">
        <v>200</v>
      </c>
      <c r="E13" t="s">
        <v>18</v>
      </c>
      <c r="F13" t="s">
        <v>19</v>
      </c>
      <c r="G13" t="b">
        <v>1</v>
      </c>
      <c r="I13">
        <v>148</v>
      </c>
      <c r="J13">
        <v>0</v>
      </c>
      <c r="K13">
        <v>1</v>
      </c>
      <c r="L13">
        <v>1</v>
      </c>
      <c r="M13" t="s">
        <v>20</v>
      </c>
      <c r="N13">
        <v>2142</v>
      </c>
      <c r="O13">
        <v>0</v>
      </c>
      <c r="P13">
        <v>0</v>
      </c>
      <c r="Q13">
        <v>7</v>
      </c>
    </row>
    <row r="14" spans="1:17" x14ac:dyDescent="0.35">
      <c r="A14">
        <v>1781697992521</v>
      </c>
      <c r="B14">
        <v>1837</v>
      </c>
      <c r="C14" t="s">
        <v>32</v>
      </c>
      <c r="D14">
        <v>200</v>
      </c>
      <c r="E14" t="s">
        <v>18</v>
      </c>
      <c r="F14" t="s">
        <v>19</v>
      </c>
      <c r="G14" t="b">
        <v>1</v>
      </c>
      <c r="I14">
        <v>123</v>
      </c>
      <c r="J14">
        <v>0</v>
      </c>
      <c r="K14">
        <v>1</v>
      </c>
      <c r="L14">
        <v>1</v>
      </c>
      <c r="M14" t="s">
        <v>20</v>
      </c>
      <c r="N14">
        <v>1836</v>
      </c>
      <c r="O14">
        <v>0</v>
      </c>
      <c r="P14">
        <v>0</v>
      </c>
      <c r="Q14">
        <v>5</v>
      </c>
    </row>
    <row r="15" spans="1:17" x14ac:dyDescent="0.35">
      <c r="A15">
        <v>1781697994360</v>
      </c>
      <c r="B15">
        <v>2346</v>
      </c>
      <c r="C15" t="s">
        <v>33</v>
      </c>
      <c r="D15">
        <v>200</v>
      </c>
      <c r="E15" t="s">
        <v>18</v>
      </c>
      <c r="F15" t="s">
        <v>19</v>
      </c>
      <c r="G15" t="b">
        <v>1</v>
      </c>
      <c r="I15">
        <v>64</v>
      </c>
      <c r="J15">
        <v>0</v>
      </c>
      <c r="K15">
        <v>1</v>
      </c>
      <c r="L15">
        <v>1</v>
      </c>
      <c r="M15" t="s">
        <v>20</v>
      </c>
      <c r="N15">
        <v>2345</v>
      </c>
      <c r="O15">
        <v>0</v>
      </c>
      <c r="P15">
        <v>0</v>
      </c>
      <c r="Q15">
        <v>2</v>
      </c>
    </row>
    <row r="16" spans="1:17" x14ac:dyDescent="0.35">
      <c r="A16">
        <v>1781697996708</v>
      </c>
      <c r="B16">
        <v>1779</v>
      </c>
      <c r="C16" t="s">
        <v>34</v>
      </c>
      <c r="D16">
        <v>200</v>
      </c>
      <c r="E16" t="s">
        <v>18</v>
      </c>
      <c r="F16" t="s">
        <v>19</v>
      </c>
      <c r="G16" t="b">
        <v>1</v>
      </c>
      <c r="I16">
        <v>57</v>
      </c>
      <c r="J16">
        <v>0</v>
      </c>
      <c r="K16">
        <v>1</v>
      </c>
      <c r="L16">
        <v>1</v>
      </c>
      <c r="M16" t="s">
        <v>20</v>
      </c>
      <c r="N16">
        <v>1777</v>
      </c>
      <c r="O16">
        <v>0</v>
      </c>
      <c r="P16">
        <v>0</v>
      </c>
      <c r="Q16">
        <v>3</v>
      </c>
    </row>
    <row r="17" spans="1:17" x14ac:dyDescent="0.35">
      <c r="A17">
        <v>1781697998488</v>
      </c>
      <c r="B17">
        <v>1936</v>
      </c>
      <c r="C17" t="s">
        <v>35</v>
      </c>
      <c r="D17">
        <v>200</v>
      </c>
      <c r="E17" t="s">
        <v>18</v>
      </c>
      <c r="F17" t="s">
        <v>19</v>
      </c>
      <c r="G17" t="b">
        <v>1</v>
      </c>
      <c r="I17">
        <v>131</v>
      </c>
      <c r="J17">
        <v>0</v>
      </c>
      <c r="K17">
        <v>1</v>
      </c>
      <c r="L17">
        <v>1</v>
      </c>
      <c r="M17" t="s">
        <v>20</v>
      </c>
      <c r="N17">
        <v>1936</v>
      </c>
      <c r="O17">
        <v>0</v>
      </c>
      <c r="P17">
        <v>0</v>
      </c>
      <c r="Q17">
        <v>4</v>
      </c>
    </row>
    <row r="18" spans="1:17" x14ac:dyDescent="0.35">
      <c r="A18">
        <v>1781698000426</v>
      </c>
      <c r="B18">
        <v>2747</v>
      </c>
      <c r="C18" t="s">
        <v>36</v>
      </c>
      <c r="D18">
        <v>200</v>
      </c>
      <c r="E18" t="s">
        <v>18</v>
      </c>
      <c r="F18" t="s">
        <v>19</v>
      </c>
      <c r="G18" t="b">
        <v>1</v>
      </c>
      <c r="I18">
        <v>1818</v>
      </c>
      <c r="J18">
        <v>0</v>
      </c>
      <c r="K18">
        <v>1</v>
      </c>
      <c r="L18">
        <v>1</v>
      </c>
      <c r="M18" t="s">
        <v>20</v>
      </c>
      <c r="N18">
        <v>2739</v>
      </c>
      <c r="O18">
        <v>0</v>
      </c>
      <c r="P18">
        <v>0</v>
      </c>
      <c r="Q18">
        <v>84</v>
      </c>
    </row>
    <row r="19" spans="1:17" x14ac:dyDescent="0.35">
      <c r="A19">
        <v>1781698003176</v>
      </c>
      <c r="B19">
        <v>1319</v>
      </c>
      <c r="C19" t="s">
        <v>37</v>
      </c>
      <c r="D19">
        <v>200</v>
      </c>
      <c r="E19" t="s">
        <v>18</v>
      </c>
      <c r="F19" t="s">
        <v>19</v>
      </c>
      <c r="G19" t="b">
        <v>1</v>
      </c>
      <c r="I19">
        <v>163</v>
      </c>
      <c r="J19">
        <v>0</v>
      </c>
      <c r="K19">
        <v>1</v>
      </c>
      <c r="L19">
        <v>1</v>
      </c>
      <c r="M19" t="s">
        <v>20</v>
      </c>
      <c r="N19">
        <v>1319</v>
      </c>
      <c r="O19">
        <v>0</v>
      </c>
      <c r="P19">
        <v>0</v>
      </c>
      <c r="Q19">
        <v>5</v>
      </c>
    </row>
    <row r="20" spans="1:17" x14ac:dyDescent="0.35">
      <c r="A20">
        <v>1781698004497</v>
      </c>
      <c r="B20">
        <v>2604</v>
      </c>
      <c r="C20" t="s">
        <v>38</v>
      </c>
      <c r="D20">
        <v>200</v>
      </c>
      <c r="E20" t="s">
        <v>18</v>
      </c>
      <c r="F20" t="s">
        <v>19</v>
      </c>
      <c r="G20" t="b">
        <v>1</v>
      </c>
      <c r="I20">
        <v>1227</v>
      </c>
      <c r="J20">
        <v>0</v>
      </c>
      <c r="K20">
        <v>1</v>
      </c>
      <c r="L20">
        <v>1</v>
      </c>
      <c r="M20" t="s">
        <v>20</v>
      </c>
      <c r="N20">
        <v>2604</v>
      </c>
      <c r="O20">
        <v>0</v>
      </c>
      <c r="P20">
        <v>0</v>
      </c>
      <c r="Q20">
        <v>49</v>
      </c>
    </row>
    <row r="21" spans="1:17" x14ac:dyDescent="0.35">
      <c r="A21">
        <v>1781698007102</v>
      </c>
      <c r="B21">
        <v>2155</v>
      </c>
      <c r="C21" t="s">
        <v>39</v>
      </c>
      <c r="D21">
        <v>200</v>
      </c>
      <c r="E21" t="s">
        <v>18</v>
      </c>
      <c r="F21" t="s">
        <v>19</v>
      </c>
      <c r="G21" t="b">
        <v>1</v>
      </c>
      <c r="I21">
        <v>267</v>
      </c>
      <c r="J21">
        <v>0</v>
      </c>
      <c r="K21">
        <v>1</v>
      </c>
      <c r="L21">
        <v>1</v>
      </c>
      <c r="M21" t="s">
        <v>20</v>
      </c>
      <c r="N21">
        <v>2155</v>
      </c>
      <c r="O21">
        <v>0</v>
      </c>
      <c r="P21">
        <v>1</v>
      </c>
      <c r="Q21">
        <v>14</v>
      </c>
    </row>
    <row r="22" spans="1:17" x14ac:dyDescent="0.35">
      <c r="A22">
        <v>1781698009259</v>
      </c>
      <c r="B22">
        <v>5957</v>
      </c>
      <c r="C22" t="s">
        <v>40</v>
      </c>
      <c r="D22">
        <v>200</v>
      </c>
      <c r="E22" t="s">
        <v>18</v>
      </c>
      <c r="F22" t="s">
        <v>19</v>
      </c>
      <c r="G22" t="b">
        <v>1</v>
      </c>
      <c r="I22">
        <v>105</v>
      </c>
      <c r="J22">
        <v>0</v>
      </c>
      <c r="K22">
        <v>1</v>
      </c>
      <c r="L22">
        <v>1</v>
      </c>
      <c r="M22" t="s">
        <v>20</v>
      </c>
      <c r="N22">
        <v>5956</v>
      </c>
      <c r="O22">
        <v>0</v>
      </c>
      <c r="P22">
        <v>0</v>
      </c>
      <c r="Q22">
        <v>7</v>
      </c>
    </row>
    <row r="23" spans="1:17" x14ac:dyDescent="0.35">
      <c r="A23">
        <v>1781698015218</v>
      </c>
      <c r="B23">
        <v>1689</v>
      </c>
      <c r="C23" t="s">
        <v>41</v>
      </c>
      <c r="D23">
        <v>200</v>
      </c>
      <c r="E23" t="s">
        <v>18</v>
      </c>
      <c r="F23" t="s">
        <v>19</v>
      </c>
      <c r="G23" t="b">
        <v>1</v>
      </c>
      <c r="I23">
        <v>106</v>
      </c>
      <c r="J23">
        <v>0</v>
      </c>
      <c r="K23">
        <v>1</v>
      </c>
      <c r="L23">
        <v>1</v>
      </c>
      <c r="M23" t="s">
        <v>20</v>
      </c>
      <c r="N23">
        <v>1688</v>
      </c>
      <c r="O23">
        <v>0</v>
      </c>
      <c r="P23">
        <v>0</v>
      </c>
      <c r="Q23">
        <v>7</v>
      </c>
    </row>
    <row r="24" spans="1:17" x14ac:dyDescent="0.35">
      <c r="A24">
        <v>1781698016909</v>
      </c>
      <c r="B24">
        <v>4348</v>
      </c>
      <c r="C24" t="s">
        <v>42</v>
      </c>
      <c r="D24">
        <v>200</v>
      </c>
      <c r="E24" t="s">
        <v>18</v>
      </c>
      <c r="F24" t="s">
        <v>19</v>
      </c>
      <c r="G24" t="b">
        <v>1</v>
      </c>
      <c r="I24">
        <v>51</v>
      </c>
      <c r="J24">
        <v>0</v>
      </c>
      <c r="K24">
        <v>1</v>
      </c>
      <c r="L24">
        <v>1</v>
      </c>
      <c r="M24" t="s">
        <v>20</v>
      </c>
      <c r="N24">
        <v>4347</v>
      </c>
      <c r="O24">
        <v>0</v>
      </c>
      <c r="P24">
        <v>0</v>
      </c>
      <c r="Q24">
        <v>3</v>
      </c>
    </row>
    <row r="25" spans="1:17" x14ac:dyDescent="0.35">
      <c r="A25">
        <v>1781698021263</v>
      </c>
      <c r="B25">
        <v>1793</v>
      </c>
      <c r="C25" t="s">
        <v>43</v>
      </c>
      <c r="D25">
        <v>200</v>
      </c>
      <c r="E25" t="s">
        <v>18</v>
      </c>
      <c r="F25" t="s">
        <v>19</v>
      </c>
      <c r="G25" t="b">
        <v>1</v>
      </c>
      <c r="I25">
        <v>107</v>
      </c>
      <c r="J25">
        <v>0</v>
      </c>
      <c r="K25">
        <v>1</v>
      </c>
      <c r="L25">
        <v>1</v>
      </c>
      <c r="M25" t="s">
        <v>20</v>
      </c>
      <c r="N25">
        <v>1792</v>
      </c>
      <c r="O25">
        <v>0</v>
      </c>
      <c r="P25">
        <v>1</v>
      </c>
      <c r="Q25">
        <v>5</v>
      </c>
    </row>
    <row r="26" spans="1:17" x14ac:dyDescent="0.35">
      <c r="A26">
        <v>1781698023057</v>
      </c>
      <c r="B26">
        <v>1696</v>
      </c>
      <c r="C26" t="s">
        <v>44</v>
      </c>
      <c r="D26">
        <v>200</v>
      </c>
      <c r="E26" t="s">
        <v>18</v>
      </c>
      <c r="F26" t="s">
        <v>19</v>
      </c>
      <c r="G26" t="b">
        <v>1</v>
      </c>
      <c r="I26">
        <v>42</v>
      </c>
      <c r="J26">
        <v>0</v>
      </c>
      <c r="K26">
        <v>1</v>
      </c>
      <c r="L26">
        <v>1</v>
      </c>
      <c r="M26" t="s">
        <v>20</v>
      </c>
      <c r="N26">
        <v>1696</v>
      </c>
      <c r="O26">
        <v>0</v>
      </c>
      <c r="P26">
        <v>0</v>
      </c>
      <c r="Q26">
        <v>2</v>
      </c>
    </row>
    <row r="27" spans="1:17" x14ac:dyDescent="0.35">
      <c r="A27">
        <v>1781698024754</v>
      </c>
      <c r="B27">
        <v>5025</v>
      </c>
      <c r="C27" t="s">
        <v>45</v>
      </c>
      <c r="D27">
        <v>200</v>
      </c>
      <c r="E27" t="s">
        <v>18</v>
      </c>
      <c r="F27" t="s">
        <v>19</v>
      </c>
      <c r="G27" t="b">
        <v>1</v>
      </c>
      <c r="I27">
        <v>106</v>
      </c>
      <c r="J27">
        <v>0</v>
      </c>
      <c r="K27">
        <v>1</v>
      </c>
      <c r="L27">
        <v>1</v>
      </c>
      <c r="M27" t="s">
        <v>20</v>
      </c>
      <c r="N27">
        <v>5025</v>
      </c>
      <c r="O27">
        <v>0</v>
      </c>
      <c r="P27">
        <v>0</v>
      </c>
      <c r="Q27">
        <v>4</v>
      </c>
    </row>
    <row r="28" spans="1:17" x14ac:dyDescent="0.35">
      <c r="A28">
        <v>1781698029781</v>
      </c>
      <c r="B28">
        <v>1900</v>
      </c>
      <c r="C28" t="s">
        <v>46</v>
      </c>
      <c r="D28">
        <v>200</v>
      </c>
      <c r="E28" t="s">
        <v>18</v>
      </c>
      <c r="F28" t="s">
        <v>19</v>
      </c>
      <c r="G28" t="b">
        <v>1</v>
      </c>
      <c r="I28">
        <v>135</v>
      </c>
      <c r="J28">
        <v>0</v>
      </c>
      <c r="K28">
        <v>1</v>
      </c>
      <c r="L28">
        <v>1</v>
      </c>
      <c r="M28" t="s">
        <v>20</v>
      </c>
      <c r="N28">
        <v>1899</v>
      </c>
      <c r="O28">
        <v>0</v>
      </c>
      <c r="P28">
        <v>0</v>
      </c>
      <c r="Q28">
        <v>12</v>
      </c>
    </row>
    <row r="29" spans="1:17" x14ac:dyDescent="0.35">
      <c r="A29">
        <v>1781698031682</v>
      </c>
      <c r="B29">
        <v>8131</v>
      </c>
      <c r="C29" t="s">
        <v>47</v>
      </c>
      <c r="D29">
        <v>200</v>
      </c>
      <c r="E29" t="s">
        <v>18</v>
      </c>
      <c r="F29" t="s">
        <v>19</v>
      </c>
      <c r="G29" t="b">
        <v>1</v>
      </c>
      <c r="I29">
        <v>752</v>
      </c>
      <c r="J29">
        <v>0</v>
      </c>
      <c r="K29">
        <v>1</v>
      </c>
      <c r="L29">
        <v>1</v>
      </c>
      <c r="M29" t="s">
        <v>20</v>
      </c>
      <c r="N29">
        <v>8130</v>
      </c>
      <c r="O29">
        <v>0</v>
      </c>
      <c r="P29">
        <v>0</v>
      </c>
      <c r="Q29">
        <v>35</v>
      </c>
    </row>
    <row r="30" spans="1:17" x14ac:dyDescent="0.35">
      <c r="A30">
        <v>1781698039813</v>
      </c>
      <c r="B30">
        <v>1923</v>
      </c>
      <c r="C30" t="s">
        <v>48</v>
      </c>
      <c r="D30">
        <v>200</v>
      </c>
      <c r="E30" t="s">
        <v>18</v>
      </c>
      <c r="F30" t="s">
        <v>19</v>
      </c>
      <c r="G30" t="b">
        <v>1</v>
      </c>
      <c r="I30">
        <v>233</v>
      </c>
      <c r="J30">
        <v>0</v>
      </c>
      <c r="K30">
        <v>1</v>
      </c>
      <c r="L30">
        <v>1</v>
      </c>
      <c r="M30" t="s">
        <v>20</v>
      </c>
      <c r="N30">
        <v>1922</v>
      </c>
      <c r="O30">
        <v>0</v>
      </c>
      <c r="P30">
        <v>0</v>
      </c>
      <c r="Q30">
        <v>14</v>
      </c>
    </row>
    <row r="31" spans="1:17" x14ac:dyDescent="0.35">
      <c r="A31">
        <v>1781698041738</v>
      </c>
      <c r="B31">
        <v>2148</v>
      </c>
      <c r="C31" t="s">
        <v>49</v>
      </c>
      <c r="D31">
        <v>200</v>
      </c>
      <c r="E31" t="s">
        <v>18</v>
      </c>
      <c r="F31" t="s">
        <v>19</v>
      </c>
      <c r="G31" t="b">
        <v>1</v>
      </c>
      <c r="I31">
        <v>161</v>
      </c>
      <c r="J31">
        <v>0</v>
      </c>
      <c r="K31">
        <v>1</v>
      </c>
      <c r="L31">
        <v>1</v>
      </c>
      <c r="M31" t="s">
        <v>20</v>
      </c>
      <c r="N31">
        <v>2147</v>
      </c>
      <c r="O31">
        <v>0</v>
      </c>
      <c r="P31">
        <v>0</v>
      </c>
      <c r="Q31">
        <v>9</v>
      </c>
    </row>
    <row r="32" spans="1:17" x14ac:dyDescent="0.35">
      <c r="A32">
        <v>1781698043887</v>
      </c>
      <c r="B32">
        <v>1514</v>
      </c>
      <c r="C32" t="s">
        <v>50</v>
      </c>
      <c r="D32">
        <v>200</v>
      </c>
      <c r="E32" t="s">
        <v>18</v>
      </c>
      <c r="F32" t="s">
        <v>19</v>
      </c>
      <c r="G32" t="b">
        <v>1</v>
      </c>
      <c r="I32">
        <v>33631</v>
      </c>
      <c r="J32">
        <v>0</v>
      </c>
      <c r="K32">
        <v>1</v>
      </c>
      <c r="L32">
        <v>1</v>
      </c>
      <c r="M32" t="s">
        <v>20</v>
      </c>
      <c r="N32">
        <v>1508</v>
      </c>
      <c r="O32">
        <v>0</v>
      </c>
      <c r="P32">
        <v>0</v>
      </c>
      <c r="Q32">
        <v>1000</v>
      </c>
    </row>
    <row r="33" spans="1:17" x14ac:dyDescent="0.35">
      <c r="A33">
        <v>1781698045404</v>
      </c>
      <c r="B33">
        <v>1299</v>
      </c>
      <c r="C33" t="s">
        <v>51</v>
      </c>
      <c r="D33">
        <v>200</v>
      </c>
      <c r="E33" t="s">
        <v>18</v>
      </c>
      <c r="F33" t="s">
        <v>19</v>
      </c>
      <c r="G33" t="b">
        <v>1</v>
      </c>
      <c r="I33">
        <v>27023</v>
      </c>
      <c r="J33">
        <v>0</v>
      </c>
      <c r="K33">
        <v>1</v>
      </c>
      <c r="L33">
        <v>1</v>
      </c>
      <c r="M33" t="s">
        <v>20</v>
      </c>
      <c r="N33">
        <v>1296</v>
      </c>
      <c r="O33">
        <v>0</v>
      </c>
      <c r="P33">
        <v>0</v>
      </c>
      <c r="Q33">
        <v>1000</v>
      </c>
    </row>
    <row r="34" spans="1:17" x14ac:dyDescent="0.35">
      <c r="A34">
        <v>1781698046704</v>
      </c>
      <c r="B34">
        <v>1252</v>
      </c>
      <c r="C34" t="s">
        <v>52</v>
      </c>
      <c r="D34">
        <v>200</v>
      </c>
      <c r="E34" t="s">
        <v>18</v>
      </c>
      <c r="F34" t="s">
        <v>19</v>
      </c>
      <c r="G34" t="b">
        <v>1</v>
      </c>
      <c r="I34">
        <v>26081</v>
      </c>
      <c r="J34">
        <v>0</v>
      </c>
      <c r="K34">
        <v>1</v>
      </c>
      <c r="L34">
        <v>1</v>
      </c>
      <c r="M34" t="s">
        <v>20</v>
      </c>
      <c r="N34">
        <v>1250</v>
      </c>
      <c r="O34">
        <v>0</v>
      </c>
      <c r="P34">
        <v>0</v>
      </c>
      <c r="Q34">
        <v>1000</v>
      </c>
    </row>
    <row r="35" spans="1:17" x14ac:dyDescent="0.35">
      <c r="A35">
        <v>1781698047957</v>
      </c>
      <c r="B35">
        <v>1252</v>
      </c>
      <c r="C35" t="s">
        <v>53</v>
      </c>
      <c r="D35">
        <v>200</v>
      </c>
      <c r="E35" t="s">
        <v>18</v>
      </c>
      <c r="F35" t="s">
        <v>19</v>
      </c>
      <c r="G35" t="b">
        <v>1</v>
      </c>
      <c r="I35">
        <v>29024</v>
      </c>
      <c r="J35">
        <v>0</v>
      </c>
      <c r="K35">
        <v>1</v>
      </c>
      <c r="L35">
        <v>1</v>
      </c>
      <c r="M35" t="s">
        <v>20</v>
      </c>
      <c r="N35">
        <v>1250</v>
      </c>
      <c r="O35">
        <v>0</v>
      </c>
      <c r="P35">
        <v>0</v>
      </c>
      <c r="Q35">
        <v>1000</v>
      </c>
    </row>
    <row r="36" spans="1:17" x14ac:dyDescent="0.35">
      <c r="A36">
        <v>1781698049210</v>
      </c>
      <c r="B36">
        <v>1343</v>
      </c>
      <c r="C36" t="s">
        <v>54</v>
      </c>
      <c r="D36">
        <v>200</v>
      </c>
      <c r="E36" t="s">
        <v>18</v>
      </c>
      <c r="F36" t="s">
        <v>19</v>
      </c>
      <c r="G36" t="b">
        <v>1</v>
      </c>
      <c r="I36">
        <v>25022</v>
      </c>
      <c r="J36">
        <v>0</v>
      </c>
      <c r="K36">
        <v>1</v>
      </c>
      <c r="L36">
        <v>1</v>
      </c>
      <c r="M36" t="s">
        <v>20</v>
      </c>
      <c r="N36">
        <v>1340</v>
      </c>
      <c r="O36">
        <v>0</v>
      </c>
      <c r="P36">
        <v>0</v>
      </c>
      <c r="Q36">
        <v>1000</v>
      </c>
    </row>
    <row r="37" spans="1:17" x14ac:dyDescent="0.35">
      <c r="A37">
        <v>1781698050560</v>
      </c>
      <c r="B37">
        <v>1210</v>
      </c>
      <c r="C37" t="s">
        <v>55</v>
      </c>
      <c r="D37">
        <v>200</v>
      </c>
      <c r="E37" t="s">
        <v>18</v>
      </c>
      <c r="F37" t="s">
        <v>19</v>
      </c>
      <c r="G37" t="b">
        <v>1</v>
      </c>
      <c r="I37">
        <v>24019</v>
      </c>
      <c r="J37">
        <v>0</v>
      </c>
      <c r="K37">
        <v>1</v>
      </c>
      <c r="L37">
        <v>1</v>
      </c>
      <c r="M37" t="s">
        <v>20</v>
      </c>
      <c r="N37">
        <v>1207</v>
      </c>
      <c r="O37">
        <v>0</v>
      </c>
      <c r="P37">
        <v>0</v>
      </c>
      <c r="Q37">
        <v>1000</v>
      </c>
    </row>
    <row r="38" spans="1:17" x14ac:dyDescent="0.35">
      <c r="A38">
        <v>1781698051771</v>
      </c>
      <c r="B38">
        <v>1268</v>
      </c>
      <c r="C38" t="s">
        <v>56</v>
      </c>
      <c r="D38">
        <v>200</v>
      </c>
      <c r="E38" t="s">
        <v>18</v>
      </c>
      <c r="F38" t="s">
        <v>19</v>
      </c>
      <c r="G38" t="b">
        <v>1</v>
      </c>
      <c r="I38">
        <v>24024</v>
      </c>
      <c r="J38">
        <v>0</v>
      </c>
      <c r="K38">
        <v>1</v>
      </c>
      <c r="L38">
        <v>1</v>
      </c>
      <c r="M38" t="s">
        <v>20</v>
      </c>
      <c r="N38">
        <v>1267</v>
      </c>
      <c r="O38">
        <v>0</v>
      </c>
      <c r="P38">
        <v>0</v>
      </c>
      <c r="Q38">
        <v>1000</v>
      </c>
    </row>
    <row r="39" spans="1:17" x14ac:dyDescent="0.35">
      <c r="A39">
        <v>1781698053040</v>
      </c>
      <c r="B39">
        <v>1909</v>
      </c>
      <c r="C39" t="s">
        <v>57</v>
      </c>
      <c r="D39">
        <v>200</v>
      </c>
      <c r="E39" t="s">
        <v>18</v>
      </c>
      <c r="F39" t="s">
        <v>19</v>
      </c>
      <c r="G39" t="b">
        <v>1</v>
      </c>
      <c r="I39">
        <v>33027</v>
      </c>
      <c r="J39">
        <v>0</v>
      </c>
      <c r="K39">
        <v>1</v>
      </c>
      <c r="L39">
        <v>1</v>
      </c>
      <c r="M39" t="s">
        <v>20</v>
      </c>
      <c r="N39">
        <v>1907</v>
      </c>
      <c r="O39">
        <v>0</v>
      </c>
      <c r="P39">
        <v>0</v>
      </c>
      <c r="Q39">
        <v>1000</v>
      </c>
    </row>
    <row r="40" spans="1:17" x14ac:dyDescent="0.35">
      <c r="A40">
        <v>1781698054950</v>
      </c>
      <c r="B40">
        <v>1166</v>
      </c>
      <c r="C40" t="s">
        <v>58</v>
      </c>
      <c r="D40">
        <v>200</v>
      </c>
      <c r="E40" t="s">
        <v>18</v>
      </c>
      <c r="F40" t="s">
        <v>19</v>
      </c>
      <c r="G40" t="b">
        <v>1</v>
      </c>
      <c r="I40">
        <v>25024</v>
      </c>
      <c r="J40">
        <v>0</v>
      </c>
      <c r="K40">
        <v>1</v>
      </c>
      <c r="L40">
        <v>1</v>
      </c>
      <c r="M40" t="s">
        <v>20</v>
      </c>
      <c r="N40">
        <v>1164</v>
      </c>
      <c r="O40">
        <v>0</v>
      </c>
      <c r="P40">
        <v>0</v>
      </c>
      <c r="Q40">
        <v>1000</v>
      </c>
    </row>
    <row r="41" spans="1:17" x14ac:dyDescent="0.35">
      <c r="A41">
        <v>1781698056116</v>
      </c>
      <c r="B41">
        <v>1346</v>
      </c>
      <c r="C41" t="s">
        <v>59</v>
      </c>
      <c r="D41">
        <v>200</v>
      </c>
      <c r="E41" t="s">
        <v>18</v>
      </c>
      <c r="F41" t="s">
        <v>19</v>
      </c>
      <c r="G41" t="b">
        <v>1</v>
      </c>
      <c r="I41">
        <v>24572</v>
      </c>
      <c r="J41">
        <v>0</v>
      </c>
      <c r="K41">
        <v>1</v>
      </c>
      <c r="L41">
        <v>1</v>
      </c>
      <c r="M41" t="s">
        <v>20</v>
      </c>
      <c r="N41">
        <v>1344</v>
      </c>
      <c r="O41">
        <v>0</v>
      </c>
      <c r="P41">
        <v>1</v>
      </c>
      <c r="Q41">
        <v>1000</v>
      </c>
    </row>
    <row r="42" spans="1:17" x14ac:dyDescent="0.35">
      <c r="A42">
        <v>1781698057463</v>
      </c>
      <c r="B42">
        <v>1246</v>
      </c>
      <c r="C42" t="s">
        <v>60</v>
      </c>
      <c r="D42">
        <v>200</v>
      </c>
      <c r="E42" t="s">
        <v>18</v>
      </c>
      <c r="F42" t="s">
        <v>19</v>
      </c>
      <c r="G42" t="b">
        <v>1</v>
      </c>
      <c r="I42">
        <v>28024</v>
      </c>
      <c r="J42">
        <v>0</v>
      </c>
      <c r="K42">
        <v>1</v>
      </c>
      <c r="L42">
        <v>1</v>
      </c>
      <c r="M42" t="s">
        <v>20</v>
      </c>
      <c r="N42">
        <v>1244</v>
      </c>
      <c r="O42">
        <v>0</v>
      </c>
      <c r="P42">
        <v>1</v>
      </c>
      <c r="Q42">
        <v>1000</v>
      </c>
    </row>
    <row r="43" spans="1:17" x14ac:dyDescent="0.35">
      <c r="A43">
        <v>1781698058710</v>
      </c>
      <c r="B43">
        <v>1569</v>
      </c>
      <c r="C43" t="s">
        <v>61</v>
      </c>
      <c r="D43">
        <v>200</v>
      </c>
      <c r="E43" t="s">
        <v>18</v>
      </c>
      <c r="F43" t="s">
        <v>19</v>
      </c>
      <c r="G43" t="b">
        <v>1</v>
      </c>
      <c r="I43">
        <v>36037</v>
      </c>
      <c r="J43">
        <v>0</v>
      </c>
      <c r="K43">
        <v>1</v>
      </c>
      <c r="L43">
        <v>1</v>
      </c>
      <c r="M43" t="s">
        <v>20</v>
      </c>
      <c r="N43">
        <v>1563</v>
      </c>
      <c r="O43">
        <v>0</v>
      </c>
      <c r="P43">
        <v>0</v>
      </c>
      <c r="Q43">
        <v>1000</v>
      </c>
    </row>
    <row r="44" spans="1:17" x14ac:dyDescent="0.35">
      <c r="A44">
        <v>1781698060280</v>
      </c>
      <c r="B44">
        <v>1299</v>
      </c>
      <c r="C44" t="s">
        <v>62</v>
      </c>
      <c r="D44">
        <v>200</v>
      </c>
      <c r="E44" t="s">
        <v>18</v>
      </c>
      <c r="F44" t="s">
        <v>19</v>
      </c>
      <c r="G44" t="b">
        <v>1</v>
      </c>
      <c r="I44">
        <v>23</v>
      </c>
      <c r="J44">
        <v>0</v>
      </c>
      <c r="K44">
        <v>1</v>
      </c>
      <c r="L44">
        <v>1</v>
      </c>
      <c r="M44" t="s">
        <v>20</v>
      </c>
      <c r="N44">
        <v>1298</v>
      </c>
      <c r="O44">
        <v>0</v>
      </c>
      <c r="P44">
        <v>0</v>
      </c>
      <c r="Q44">
        <v>0</v>
      </c>
    </row>
    <row r="45" spans="1:17" x14ac:dyDescent="0.35">
      <c r="A45">
        <v>1781698061581</v>
      </c>
      <c r="B45">
        <v>1459</v>
      </c>
      <c r="C45" t="s">
        <v>63</v>
      </c>
      <c r="D45">
        <v>200</v>
      </c>
      <c r="E45" t="s">
        <v>18</v>
      </c>
      <c r="F45" t="s">
        <v>19</v>
      </c>
      <c r="G45" t="b">
        <v>1</v>
      </c>
      <c r="I45">
        <v>46409</v>
      </c>
      <c r="J45">
        <v>0</v>
      </c>
      <c r="K45">
        <v>1</v>
      </c>
      <c r="L45">
        <v>1</v>
      </c>
      <c r="M45" t="s">
        <v>20</v>
      </c>
      <c r="N45">
        <v>1455</v>
      </c>
      <c r="O45">
        <v>0</v>
      </c>
      <c r="P45">
        <v>0</v>
      </c>
      <c r="Q45">
        <v>1000</v>
      </c>
    </row>
    <row r="46" spans="1:17" x14ac:dyDescent="0.35">
      <c r="A46">
        <v>1781698063040</v>
      </c>
      <c r="B46">
        <v>622</v>
      </c>
      <c r="C46" t="s">
        <v>64</v>
      </c>
      <c r="D46">
        <v>200</v>
      </c>
      <c r="E46" t="s">
        <v>18</v>
      </c>
      <c r="F46" t="s">
        <v>19</v>
      </c>
      <c r="G46" t="b">
        <v>1</v>
      </c>
      <c r="I46">
        <v>30022</v>
      </c>
      <c r="J46">
        <v>0</v>
      </c>
      <c r="K46">
        <v>1</v>
      </c>
      <c r="L46">
        <v>1</v>
      </c>
      <c r="M46" t="s">
        <v>20</v>
      </c>
      <c r="N46">
        <v>620</v>
      </c>
      <c r="O46">
        <v>0</v>
      </c>
      <c r="P46">
        <v>0</v>
      </c>
      <c r="Q46">
        <v>1000</v>
      </c>
    </row>
    <row r="47" spans="1:17" x14ac:dyDescent="0.35">
      <c r="A47">
        <v>1781698063664</v>
      </c>
      <c r="B47">
        <v>508</v>
      </c>
      <c r="C47" t="s">
        <v>65</v>
      </c>
      <c r="D47">
        <v>200</v>
      </c>
      <c r="E47" t="s">
        <v>18</v>
      </c>
      <c r="F47" t="s">
        <v>19</v>
      </c>
      <c r="G47" t="b">
        <v>1</v>
      </c>
      <c r="I47">
        <v>25028</v>
      </c>
      <c r="J47">
        <v>0</v>
      </c>
      <c r="K47">
        <v>1</v>
      </c>
      <c r="L47">
        <v>1</v>
      </c>
      <c r="M47" t="s">
        <v>20</v>
      </c>
      <c r="N47">
        <v>504</v>
      </c>
      <c r="O47">
        <v>0</v>
      </c>
      <c r="P47">
        <v>0</v>
      </c>
      <c r="Q47">
        <v>1000</v>
      </c>
    </row>
    <row r="48" spans="1:17" x14ac:dyDescent="0.35">
      <c r="A48">
        <v>1781698064172</v>
      </c>
      <c r="B48">
        <v>1706</v>
      </c>
      <c r="C48" t="s">
        <v>66</v>
      </c>
      <c r="D48">
        <v>200</v>
      </c>
      <c r="E48" t="s">
        <v>18</v>
      </c>
      <c r="F48" t="s">
        <v>19</v>
      </c>
      <c r="G48" t="b">
        <v>1</v>
      </c>
      <c r="I48">
        <v>28027</v>
      </c>
      <c r="J48">
        <v>0</v>
      </c>
      <c r="K48">
        <v>1</v>
      </c>
      <c r="L48">
        <v>1</v>
      </c>
      <c r="M48" t="s">
        <v>20</v>
      </c>
      <c r="N48">
        <v>1703</v>
      </c>
      <c r="O48">
        <v>0</v>
      </c>
      <c r="P48">
        <v>1</v>
      </c>
      <c r="Q48">
        <v>1000</v>
      </c>
    </row>
    <row r="49" spans="1:17" x14ac:dyDescent="0.35">
      <c r="A49">
        <v>1781698065879</v>
      </c>
      <c r="B49">
        <v>851</v>
      </c>
      <c r="C49" t="s">
        <v>67</v>
      </c>
      <c r="D49">
        <v>200</v>
      </c>
      <c r="E49" t="s">
        <v>18</v>
      </c>
      <c r="F49" t="s">
        <v>19</v>
      </c>
      <c r="G49" t="b">
        <v>1</v>
      </c>
      <c r="I49">
        <v>29</v>
      </c>
      <c r="J49">
        <v>0</v>
      </c>
      <c r="K49">
        <v>1</v>
      </c>
      <c r="L49">
        <v>1</v>
      </c>
      <c r="M49" t="s">
        <v>20</v>
      </c>
      <c r="N49">
        <v>850</v>
      </c>
      <c r="O49">
        <v>0</v>
      </c>
      <c r="P49">
        <v>0</v>
      </c>
      <c r="Q49">
        <v>0</v>
      </c>
    </row>
    <row r="50" spans="1:17" x14ac:dyDescent="0.35">
      <c r="A50">
        <v>1781698066730</v>
      </c>
      <c r="B50">
        <v>1525</v>
      </c>
      <c r="C50" t="s">
        <v>68</v>
      </c>
      <c r="D50">
        <v>200</v>
      </c>
      <c r="E50" t="s">
        <v>18</v>
      </c>
      <c r="F50" t="s">
        <v>19</v>
      </c>
      <c r="G50" t="b">
        <v>1</v>
      </c>
      <c r="I50">
        <v>36037</v>
      </c>
      <c r="J50">
        <v>0</v>
      </c>
      <c r="K50">
        <v>1</v>
      </c>
      <c r="L50">
        <v>1</v>
      </c>
      <c r="M50" t="s">
        <v>20</v>
      </c>
      <c r="N50">
        <v>1522</v>
      </c>
      <c r="O50">
        <v>0</v>
      </c>
      <c r="P50">
        <v>0</v>
      </c>
      <c r="Q50">
        <v>1000</v>
      </c>
    </row>
    <row r="51" spans="1:17" x14ac:dyDescent="0.35">
      <c r="A51">
        <v>1781698068257</v>
      </c>
      <c r="B51">
        <v>532</v>
      </c>
      <c r="C51" t="s">
        <v>69</v>
      </c>
      <c r="D51">
        <v>200</v>
      </c>
      <c r="E51" t="s">
        <v>18</v>
      </c>
      <c r="F51" t="s">
        <v>19</v>
      </c>
      <c r="G51" t="b">
        <v>1</v>
      </c>
      <c r="I51">
        <v>30028</v>
      </c>
      <c r="J51">
        <v>0</v>
      </c>
      <c r="K51">
        <v>1</v>
      </c>
      <c r="L51">
        <v>1</v>
      </c>
      <c r="M51" t="s">
        <v>20</v>
      </c>
      <c r="N51">
        <v>529</v>
      </c>
      <c r="O51">
        <v>0</v>
      </c>
      <c r="P51">
        <v>0</v>
      </c>
      <c r="Q51">
        <v>1000</v>
      </c>
    </row>
    <row r="52" spans="1:17" x14ac:dyDescent="0.35">
      <c r="A52">
        <v>1781698068790</v>
      </c>
      <c r="B52">
        <v>638</v>
      </c>
      <c r="C52" t="s">
        <v>70</v>
      </c>
      <c r="D52">
        <v>200</v>
      </c>
      <c r="E52" t="s">
        <v>18</v>
      </c>
      <c r="F52" t="s">
        <v>19</v>
      </c>
      <c r="G52" t="b">
        <v>1</v>
      </c>
      <c r="I52">
        <v>62951</v>
      </c>
      <c r="J52">
        <v>0</v>
      </c>
      <c r="K52">
        <v>1</v>
      </c>
      <c r="L52">
        <v>1</v>
      </c>
      <c r="M52" t="s">
        <v>20</v>
      </c>
      <c r="N52">
        <v>631</v>
      </c>
      <c r="O52">
        <v>0</v>
      </c>
      <c r="P52">
        <v>0</v>
      </c>
      <c r="Q52">
        <v>1000</v>
      </c>
    </row>
    <row r="53" spans="1:17" x14ac:dyDescent="0.35">
      <c r="A53">
        <v>1781698069431</v>
      </c>
      <c r="B53">
        <v>925</v>
      </c>
      <c r="C53" t="s">
        <v>71</v>
      </c>
      <c r="D53">
        <v>200</v>
      </c>
      <c r="E53" t="s">
        <v>18</v>
      </c>
      <c r="F53" t="s">
        <v>19</v>
      </c>
      <c r="G53" t="b">
        <v>1</v>
      </c>
      <c r="I53">
        <v>58956</v>
      </c>
      <c r="J53">
        <v>0</v>
      </c>
      <c r="K53">
        <v>1</v>
      </c>
      <c r="L53">
        <v>1</v>
      </c>
      <c r="M53" t="s">
        <v>20</v>
      </c>
      <c r="N53">
        <v>917</v>
      </c>
      <c r="O53">
        <v>0</v>
      </c>
      <c r="P53">
        <v>0</v>
      </c>
      <c r="Q53">
        <v>1000</v>
      </c>
    </row>
    <row r="54" spans="1:17" x14ac:dyDescent="0.35">
      <c r="A54">
        <v>1781698070358</v>
      </c>
      <c r="B54">
        <v>605</v>
      </c>
      <c r="C54" t="s">
        <v>72</v>
      </c>
      <c r="D54">
        <v>200</v>
      </c>
      <c r="E54" t="s">
        <v>18</v>
      </c>
      <c r="F54" t="s">
        <v>19</v>
      </c>
      <c r="G54" t="b">
        <v>1</v>
      </c>
      <c r="I54">
        <v>67469</v>
      </c>
      <c r="J54">
        <v>0</v>
      </c>
      <c r="K54">
        <v>1</v>
      </c>
      <c r="L54">
        <v>1</v>
      </c>
      <c r="M54" t="s">
        <v>20</v>
      </c>
      <c r="N54">
        <v>600</v>
      </c>
      <c r="O54">
        <v>0</v>
      </c>
      <c r="P54">
        <v>0</v>
      </c>
      <c r="Q54">
        <v>1000</v>
      </c>
    </row>
    <row r="55" spans="1:17" x14ac:dyDescent="0.35">
      <c r="A55">
        <v>1781698070966</v>
      </c>
      <c r="B55">
        <v>661</v>
      </c>
      <c r="C55" t="s">
        <v>73</v>
      </c>
      <c r="D55">
        <v>200</v>
      </c>
      <c r="E55" t="s">
        <v>18</v>
      </c>
      <c r="F55" t="s">
        <v>19</v>
      </c>
      <c r="G55" t="b">
        <v>1</v>
      </c>
      <c r="I55">
        <v>55561</v>
      </c>
      <c r="J55">
        <v>0</v>
      </c>
      <c r="K55">
        <v>1</v>
      </c>
      <c r="L55">
        <v>1</v>
      </c>
      <c r="M55" t="s">
        <v>20</v>
      </c>
      <c r="N55">
        <v>657</v>
      </c>
      <c r="O55">
        <v>0</v>
      </c>
      <c r="P55">
        <v>0</v>
      </c>
      <c r="Q55">
        <v>1000</v>
      </c>
    </row>
    <row r="56" spans="1:17" x14ac:dyDescent="0.35">
      <c r="A56">
        <v>1781698071627</v>
      </c>
      <c r="B56">
        <v>866</v>
      </c>
      <c r="C56" t="s">
        <v>74</v>
      </c>
      <c r="D56">
        <v>200</v>
      </c>
      <c r="E56" t="s">
        <v>18</v>
      </c>
      <c r="F56" t="s">
        <v>19</v>
      </c>
      <c r="G56" t="b">
        <v>1</v>
      </c>
      <c r="I56">
        <v>61966</v>
      </c>
      <c r="J56">
        <v>0</v>
      </c>
      <c r="K56">
        <v>1</v>
      </c>
      <c r="L56">
        <v>1</v>
      </c>
      <c r="M56" t="s">
        <v>20</v>
      </c>
      <c r="N56">
        <v>861</v>
      </c>
      <c r="O56">
        <v>0</v>
      </c>
      <c r="P56">
        <v>1</v>
      </c>
      <c r="Q56">
        <v>1000</v>
      </c>
    </row>
    <row r="57" spans="1:17" x14ac:dyDescent="0.35">
      <c r="A57">
        <v>1781698072494</v>
      </c>
      <c r="B57">
        <v>1111</v>
      </c>
      <c r="C57" t="s">
        <v>75</v>
      </c>
      <c r="D57">
        <v>200</v>
      </c>
      <c r="E57" t="s">
        <v>18</v>
      </c>
      <c r="F57" t="s">
        <v>19</v>
      </c>
      <c r="G57" t="b">
        <v>1</v>
      </c>
      <c r="I57">
        <v>62959</v>
      </c>
      <c r="J57">
        <v>0</v>
      </c>
      <c r="K57">
        <v>1</v>
      </c>
      <c r="L57">
        <v>1</v>
      </c>
      <c r="M57" t="s">
        <v>20</v>
      </c>
      <c r="N57">
        <v>1108</v>
      </c>
      <c r="O57">
        <v>0</v>
      </c>
      <c r="P57">
        <v>0</v>
      </c>
      <c r="Q57">
        <v>1000</v>
      </c>
    </row>
    <row r="58" spans="1:17" x14ac:dyDescent="0.35">
      <c r="A58">
        <v>1781698073606</v>
      </c>
      <c r="B58">
        <v>790</v>
      </c>
      <c r="C58" t="s">
        <v>76</v>
      </c>
      <c r="D58">
        <v>200</v>
      </c>
      <c r="E58" t="s">
        <v>18</v>
      </c>
      <c r="F58" t="s">
        <v>19</v>
      </c>
      <c r="G58" t="b">
        <v>1</v>
      </c>
      <c r="I58">
        <v>61067</v>
      </c>
      <c r="J58">
        <v>0</v>
      </c>
      <c r="K58">
        <v>1</v>
      </c>
      <c r="L58">
        <v>1</v>
      </c>
      <c r="M58" t="s">
        <v>20</v>
      </c>
      <c r="N58">
        <v>786</v>
      </c>
      <c r="O58">
        <v>0</v>
      </c>
      <c r="P58">
        <v>0</v>
      </c>
      <c r="Q58">
        <v>1000</v>
      </c>
    </row>
    <row r="59" spans="1:17" x14ac:dyDescent="0.35">
      <c r="A59">
        <v>1781698074397</v>
      </c>
      <c r="B59">
        <v>2776</v>
      </c>
      <c r="C59" t="s">
        <v>77</v>
      </c>
      <c r="D59">
        <v>200</v>
      </c>
      <c r="E59" t="s">
        <v>18</v>
      </c>
      <c r="F59" t="s">
        <v>19</v>
      </c>
      <c r="G59" t="b">
        <v>1</v>
      </c>
      <c r="I59">
        <v>68825</v>
      </c>
      <c r="J59">
        <v>0</v>
      </c>
      <c r="K59">
        <v>1</v>
      </c>
      <c r="L59">
        <v>1</v>
      </c>
      <c r="M59" t="s">
        <v>20</v>
      </c>
      <c r="N59">
        <v>2771</v>
      </c>
      <c r="O59">
        <v>0</v>
      </c>
      <c r="P59">
        <v>0</v>
      </c>
      <c r="Q59">
        <v>1000</v>
      </c>
    </row>
    <row r="60" spans="1:17" x14ac:dyDescent="0.35">
      <c r="A60">
        <v>1781698077173</v>
      </c>
      <c r="B60">
        <v>679</v>
      </c>
      <c r="C60" t="s">
        <v>78</v>
      </c>
      <c r="D60">
        <v>200</v>
      </c>
      <c r="E60" t="s">
        <v>18</v>
      </c>
      <c r="F60" t="s">
        <v>19</v>
      </c>
      <c r="G60" t="b">
        <v>1</v>
      </c>
      <c r="I60">
        <v>74066</v>
      </c>
      <c r="J60">
        <v>0</v>
      </c>
      <c r="K60">
        <v>1</v>
      </c>
      <c r="L60">
        <v>1</v>
      </c>
      <c r="M60" t="s">
        <v>20</v>
      </c>
      <c r="N60">
        <v>673</v>
      </c>
      <c r="O60">
        <v>0</v>
      </c>
      <c r="P60">
        <v>0</v>
      </c>
      <c r="Q60">
        <v>1000</v>
      </c>
    </row>
    <row r="61" spans="1:17" x14ac:dyDescent="0.35">
      <c r="A61">
        <v>1781698077853</v>
      </c>
      <c r="B61">
        <v>639</v>
      </c>
      <c r="C61" t="s">
        <v>79</v>
      </c>
      <c r="D61">
        <v>200</v>
      </c>
      <c r="E61" t="s">
        <v>18</v>
      </c>
      <c r="F61" t="s">
        <v>19</v>
      </c>
      <c r="G61" t="b">
        <v>1</v>
      </c>
      <c r="I61">
        <v>61040</v>
      </c>
      <c r="J61">
        <v>0</v>
      </c>
      <c r="K61">
        <v>1</v>
      </c>
      <c r="L61">
        <v>1</v>
      </c>
      <c r="M61" t="s">
        <v>20</v>
      </c>
      <c r="N61">
        <v>636</v>
      </c>
      <c r="O61">
        <v>0</v>
      </c>
      <c r="P61">
        <v>0</v>
      </c>
      <c r="Q61">
        <v>1000</v>
      </c>
    </row>
    <row r="62" spans="1:17" x14ac:dyDescent="0.35">
      <c r="A62">
        <v>1781698078492</v>
      </c>
      <c r="B62">
        <v>1984</v>
      </c>
      <c r="C62" t="s">
        <v>80</v>
      </c>
      <c r="D62">
        <v>200</v>
      </c>
      <c r="E62" t="s">
        <v>18</v>
      </c>
      <c r="F62" t="s">
        <v>19</v>
      </c>
      <c r="G62" t="b">
        <v>1</v>
      </c>
      <c r="I62">
        <v>22016</v>
      </c>
      <c r="J62">
        <v>0</v>
      </c>
      <c r="K62">
        <v>1</v>
      </c>
      <c r="L62">
        <v>1</v>
      </c>
      <c r="M62" t="s">
        <v>20</v>
      </c>
      <c r="N62">
        <v>1981</v>
      </c>
      <c r="O62">
        <v>0</v>
      </c>
      <c r="P62">
        <v>0</v>
      </c>
      <c r="Q62">
        <v>1000</v>
      </c>
    </row>
    <row r="63" spans="1:17" x14ac:dyDescent="0.35">
      <c r="A63">
        <v>1781698080483</v>
      </c>
      <c r="B63">
        <v>1288</v>
      </c>
      <c r="C63" t="s">
        <v>81</v>
      </c>
      <c r="D63">
        <v>200</v>
      </c>
      <c r="E63" t="s">
        <v>18</v>
      </c>
      <c r="F63" t="s">
        <v>19</v>
      </c>
      <c r="G63" t="b">
        <v>1</v>
      </c>
      <c r="I63">
        <v>4010</v>
      </c>
      <c r="J63">
        <v>0</v>
      </c>
      <c r="K63">
        <v>1</v>
      </c>
      <c r="L63">
        <v>1</v>
      </c>
      <c r="M63" t="s">
        <v>20</v>
      </c>
      <c r="N63">
        <v>1286</v>
      </c>
      <c r="O63">
        <v>0</v>
      </c>
      <c r="P63">
        <v>0</v>
      </c>
      <c r="Q63">
        <v>150</v>
      </c>
    </row>
    <row r="64" spans="1:17" x14ac:dyDescent="0.35">
      <c r="A64">
        <v>1781698081771</v>
      </c>
      <c r="B64">
        <v>1508</v>
      </c>
      <c r="C64" t="s">
        <v>82</v>
      </c>
      <c r="D64">
        <v>200</v>
      </c>
      <c r="E64" t="s">
        <v>18</v>
      </c>
      <c r="F64" t="s">
        <v>19</v>
      </c>
      <c r="G64" t="b">
        <v>1</v>
      </c>
      <c r="I64">
        <v>30045</v>
      </c>
      <c r="J64">
        <v>0</v>
      </c>
      <c r="K64">
        <v>1</v>
      </c>
      <c r="L64">
        <v>1</v>
      </c>
      <c r="M64" t="s">
        <v>20</v>
      </c>
      <c r="N64">
        <v>1506</v>
      </c>
      <c r="O64">
        <v>0</v>
      </c>
      <c r="P64">
        <v>0</v>
      </c>
      <c r="Q64">
        <v>1000</v>
      </c>
    </row>
    <row r="65" spans="1:17" x14ac:dyDescent="0.35">
      <c r="A65">
        <v>1781698083280</v>
      </c>
      <c r="B65">
        <v>500</v>
      </c>
      <c r="C65" t="s">
        <v>83</v>
      </c>
      <c r="D65">
        <v>200</v>
      </c>
      <c r="E65" t="s">
        <v>18</v>
      </c>
      <c r="F65" t="s">
        <v>19</v>
      </c>
      <c r="G65" t="b">
        <v>1</v>
      </c>
      <c r="I65">
        <v>609</v>
      </c>
      <c r="J65">
        <v>0</v>
      </c>
      <c r="K65">
        <v>1</v>
      </c>
      <c r="L65">
        <v>1</v>
      </c>
      <c r="M65" t="s">
        <v>20</v>
      </c>
      <c r="N65">
        <v>495</v>
      </c>
      <c r="O65">
        <v>0</v>
      </c>
      <c r="P65">
        <v>0</v>
      </c>
      <c r="Q65">
        <v>40</v>
      </c>
    </row>
    <row r="66" spans="1:17" x14ac:dyDescent="0.35">
      <c r="A66">
        <v>1781698083785</v>
      </c>
      <c r="B66">
        <v>943</v>
      </c>
      <c r="C66" t="s">
        <v>84</v>
      </c>
      <c r="D66">
        <v>200</v>
      </c>
      <c r="E66" t="s">
        <v>18</v>
      </c>
      <c r="F66" t="s">
        <v>19</v>
      </c>
      <c r="G66" t="b">
        <v>1</v>
      </c>
      <c r="I66">
        <v>411</v>
      </c>
      <c r="J66">
        <v>0</v>
      </c>
      <c r="K66">
        <v>1</v>
      </c>
      <c r="L66">
        <v>1</v>
      </c>
      <c r="M66" t="s">
        <v>20</v>
      </c>
      <c r="N66">
        <v>941</v>
      </c>
      <c r="O66">
        <v>0</v>
      </c>
      <c r="P66">
        <v>0</v>
      </c>
      <c r="Q66">
        <v>50</v>
      </c>
    </row>
    <row r="67" spans="1:17" x14ac:dyDescent="0.35">
      <c r="A67">
        <v>1781698084729</v>
      </c>
      <c r="B67">
        <v>1617</v>
      </c>
      <c r="C67" t="s">
        <v>85</v>
      </c>
      <c r="D67">
        <v>200</v>
      </c>
      <c r="E67" t="s">
        <v>18</v>
      </c>
      <c r="F67" t="s">
        <v>19</v>
      </c>
      <c r="G67" t="b">
        <v>1</v>
      </c>
      <c r="I67">
        <v>37023</v>
      </c>
      <c r="J67">
        <v>0</v>
      </c>
      <c r="K67">
        <v>1</v>
      </c>
      <c r="L67">
        <v>1</v>
      </c>
      <c r="M67" t="s">
        <v>20</v>
      </c>
      <c r="N67">
        <v>1613</v>
      </c>
      <c r="O67">
        <v>0</v>
      </c>
      <c r="P67">
        <v>1</v>
      </c>
      <c r="Q67">
        <v>1000</v>
      </c>
    </row>
    <row r="68" spans="1:17" x14ac:dyDescent="0.35">
      <c r="A68">
        <v>1781698086348</v>
      </c>
      <c r="B68">
        <v>342</v>
      </c>
      <c r="C68" t="s">
        <v>86</v>
      </c>
      <c r="D68">
        <v>200</v>
      </c>
      <c r="E68" t="s">
        <v>18</v>
      </c>
      <c r="F68" t="s">
        <v>19</v>
      </c>
      <c r="G68" t="b">
        <v>1</v>
      </c>
      <c r="I68">
        <v>371</v>
      </c>
      <c r="J68">
        <v>0</v>
      </c>
      <c r="K68">
        <v>1</v>
      </c>
      <c r="L68">
        <v>1</v>
      </c>
      <c r="M68" t="s">
        <v>20</v>
      </c>
      <c r="N68">
        <v>341</v>
      </c>
      <c r="O68">
        <v>0</v>
      </c>
      <c r="P68">
        <v>0</v>
      </c>
      <c r="Q68">
        <v>25</v>
      </c>
    </row>
    <row r="69" spans="1:17" x14ac:dyDescent="0.35">
      <c r="A69">
        <v>1781698086691</v>
      </c>
      <c r="B69">
        <v>180</v>
      </c>
      <c r="C69" t="s">
        <v>87</v>
      </c>
      <c r="D69">
        <v>200</v>
      </c>
      <c r="E69" t="s">
        <v>18</v>
      </c>
      <c r="F69" t="s">
        <v>19</v>
      </c>
      <c r="G69" t="b">
        <v>1</v>
      </c>
      <c r="I69">
        <v>22021</v>
      </c>
      <c r="J69">
        <v>0</v>
      </c>
      <c r="K69">
        <v>1</v>
      </c>
      <c r="L69">
        <v>1</v>
      </c>
      <c r="M69" t="s">
        <v>20</v>
      </c>
      <c r="N69">
        <v>177</v>
      </c>
      <c r="O69">
        <v>0</v>
      </c>
      <c r="P69">
        <v>0</v>
      </c>
      <c r="Q69">
        <v>1000</v>
      </c>
    </row>
    <row r="70" spans="1:17" x14ac:dyDescent="0.35">
      <c r="A70">
        <v>1781698086872</v>
      </c>
      <c r="B70">
        <v>1292</v>
      </c>
      <c r="C70" t="s">
        <v>88</v>
      </c>
      <c r="D70">
        <v>200</v>
      </c>
      <c r="E70" t="s">
        <v>18</v>
      </c>
      <c r="F70" t="s">
        <v>19</v>
      </c>
      <c r="G70" t="b">
        <v>1</v>
      </c>
      <c r="I70">
        <v>419</v>
      </c>
      <c r="J70">
        <v>0</v>
      </c>
      <c r="K70">
        <v>1</v>
      </c>
      <c r="L70">
        <v>1</v>
      </c>
      <c r="M70" t="s">
        <v>20</v>
      </c>
      <c r="N70">
        <v>1290</v>
      </c>
      <c r="O70">
        <v>0</v>
      </c>
      <c r="P70">
        <v>0</v>
      </c>
      <c r="Q70">
        <v>25</v>
      </c>
    </row>
    <row r="71" spans="1:17" x14ac:dyDescent="0.35">
      <c r="A71">
        <v>1781698088164</v>
      </c>
      <c r="B71">
        <v>2079</v>
      </c>
      <c r="C71" t="s">
        <v>89</v>
      </c>
      <c r="D71">
        <v>200</v>
      </c>
      <c r="E71" t="s">
        <v>18</v>
      </c>
      <c r="F71" t="s">
        <v>19</v>
      </c>
      <c r="G71" t="b">
        <v>1</v>
      </c>
      <c r="I71">
        <v>4313</v>
      </c>
      <c r="J71">
        <v>0</v>
      </c>
      <c r="K71">
        <v>1</v>
      </c>
      <c r="L71">
        <v>1</v>
      </c>
      <c r="M71" t="s">
        <v>20</v>
      </c>
      <c r="N71">
        <v>2078</v>
      </c>
      <c r="O71">
        <v>0</v>
      </c>
      <c r="P71">
        <v>0</v>
      </c>
      <c r="Q71">
        <v>200</v>
      </c>
    </row>
    <row r="72" spans="1:17" x14ac:dyDescent="0.35">
      <c r="A72">
        <v>1781698090244</v>
      </c>
      <c r="B72">
        <v>2241</v>
      </c>
      <c r="C72" t="s">
        <v>90</v>
      </c>
      <c r="D72">
        <v>200</v>
      </c>
      <c r="E72" t="s">
        <v>18</v>
      </c>
      <c r="F72" t="s">
        <v>19</v>
      </c>
      <c r="G72" t="b">
        <v>1</v>
      </c>
      <c r="I72">
        <v>39265</v>
      </c>
      <c r="J72">
        <v>0</v>
      </c>
      <c r="K72">
        <v>1</v>
      </c>
      <c r="L72">
        <v>1</v>
      </c>
      <c r="M72" t="s">
        <v>20</v>
      </c>
      <c r="N72">
        <v>2238</v>
      </c>
      <c r="O72">
        <v>0</v>
      </c>
      <c r="P72">
        <v>0</v>
      </c>
      <c r="Q72">
        <v>1000</v>
      </c>
    </row>
    <row r="73" spans="1:17" x14ac:dyDescent="0.35">
      <c r="A73">
        <v>1781698092485</v>
      </c>
      <c r="B73">
        <v>2948</v>
      </c>
      <c r="C73" t="s">
        <v>91</v>
      </c>
      <c r="D73">
        <v>200</v>
      </c>
      <c r="E73" t="s">
        <v>18</v>
      </c>
      <c r="F73" t="s">
        <v>19</v>
      </c>
      <c r="G73" t="b">
        <v>1</v>
      </c>
      <c r="I73">
        <v>168</v>
      </c>
      <c r="J73">
        <v>0</v>
      </c>
      <c r="K73">
        <v>1</v>
      </c>
      <c r="L73">
        <v>1</v>
      </c>
      <c r="M73" t="s">
        <v>20</v>
      </c>
      <c r="N73">
        <v>2947</v>
      </c>
      <c r="O73">
        <v>0</v>
      </c>
      <c r="P73">
        <v>0</v>
      </c>
      <c r="Q73">
        <v>5</v>
      </c>
    </row>
    <row r="74" spans="1:17" x14ac:dyDescent="0.35">
      <c r="A74">
        <v>1781698095434</v>
      </c>
      <c r="B74">
        <v>1334</v>
      </c>
      <c r="C74" t="s">
        <v>92</v>
      </c>
      <c r="D74">
        <v>200</v>
      </c>
      <c r="E74" t="s">
        <v>18</v>
      </c>
      <c r="F74" t="s">
        <v>19</v>
      </c>
      <c r="G74" t="b">
        <v>1</v>
      </c>
      <c r="I74">
        <v>31924</v>
      </c>
      <c r="J74">
        <v>0</v>
      </c>
      <c r="K74">
        <v>1</v>
      </c>
      <c r="L74">
        <v>1</v>
      </c>
      <c r="M74" t="s">
        <v>20</v>
      </c>
      <c r="N74">
        <v>1332</v>
      </c>
      <c r="O74">
        <v>0</v>
      </c>
      <c r="P74">
        <v>2</v>
      </c>
      <c r="Q74">
        <v>1000</v>
      </c>
    </row>
    <row r="75" spans="1:17" x14ac:dyDescent="0.35">
      <c r="A75">
        <v>1781698096769</v>
      </c>
      <c r="B75">
        <v>5510</v>
      </c>
      <c r="C75" t="s">
        <v>93</v>
      </c>
      <c r="D75">
        <v>200</v>
      </c>
      <c r="E75" t="s">
        <v>18</v>
      </c>
      <c r="F75" t="s">
        <v>19</v>
      </c>
      <c r="G75" t="b">
        <v>1</v>
      </c>
      <c r="I75">
        <v>30777</v>
      </c>
      <c r="J75">
        <v>0</v>
      </c>
      <c r="K75">
        <v>1</v>
      </c>
      <c r="L75">
        <v>1</v>
      </c>
      <c r="M75" t="s">
        <v>20</v>
      </c>
      <c r="N75">
        <v>5506</v>
      </c>
      <c r="O75">
        <v>0</v>
      </c>
      <c r="P75">
        <v>0</v>
      </c>
      <c r="Q75">
        <v>1000</v>
      </c>
    </row>
    <row r="76" spans="1:17" x14ac:dyDescent="0.35">
      <c r="A76">
        <v>1781698102280</v>
      </c>
      <c r="B76">
        <v>2639</v>
      </c>
      <c r="C76" t="s">
        <v>94</v>
      </c>
      <c r="D76">
        <v>200</v>
      </c>
      <c r="E76" t="s">
        <v>18</v>
      </c>
      <c r="F76" t="s">
        <v>19</v>
      </c>
      <c r="G76" t="b">
        <v>1</v>
      </c>
      <c r="I76">
        <v>347</v>
      </c>
      <c r="J76">
        <v>0</v>
      </c>
      <c r="K76">
        <v>1</v>
      </c>
      <c r="L76">
        <v>1</v>
      </c>
      <c r="M76" t="s">
        <v>20</v>
      </c>
      <c r="N76">
        <v>2637</v>
      </c>
      <c r="O76">
        <v>0</v>
      </c>
      <c r="P76">
        <v>0</v>
      </c>
      <c r="Q76">
        <v>15</v>
      </c>
    </row>
    <row r="77" spans="1:17" x14ac:dyDescent="0.35">
      <c r="A77">
        <v>1781698104920</v>
      </c>
      <c r="B77">
        <v>1780</v>
      </c>
      <c r="C77" t="s">
        <v>95</v>
      </c>
      <c r="D77">
        <v>200</v>
      </c>
      <c r="E77" t="s">
        <v>18</v>
      </c>
      <c r="F77" t="s">
        <v>19</v>
      </c>
      <c r="G77" t="b">
        <v>1</v>
      </c>
      <c r="I77">
        <v>39381</v>
      </c>
      <c r="J77">
        <v>0</v>
      </c>
      <c r="K77">
        <v>1</v>
      </c>
      <c r="L77">
        <v>1</v>
      </c>
      <c r="M77" t="s">
        <v>20</v>
      </c>
      <c r="N77">
        <v>1778</v>
      </c>
      <c r="O77">
        <v>0</v>
      </c>
      <c r="P77">
        <v>0</v>
      </c>
      <c r="Q77">
        <v>1000</v>
      </c>
    </row>
    <row r="78" spans="1:17" x14ac:dyDescent="0.35">
      <c r="A78">
        <v>1781698106701</v>
      </c>
      <c r="B78">
        <v>2736</v>
      </c>
      <c r="C78" t="s">
        <v>96</v>
      </c>
      <c r="D78">
        <v>200</v>
      </c>
      <c r="E78" t="s">
        <v>18</v>
      </c>
      <c r="F78" t="s">
        <v>19</v>
      </c>
      <c r="G78" t="b">
        <v>1</v>
      </c>
      <c r="I78">
        <v>35040</v>
      </c>
      <c r="J78">
        <v>0</v>
      </c>
      <c r="K78">
        <v>1</v>
      </c>
      <c r="L78">
        <v>1</v>
      </c>
      <c r="M78" t="s">
        <v>20</v>
      </c>
      <c r="N78">
        <v>2733</v>
      </c>
      <c r="O78">
        <v>0</v>
      </c>
      <c r="P78">
        <v>0</v>
      </c>
      <c r="Q78">
        <v>1000</v>
      </c>
    </row>
    <row r="79" spans="1:17" x14ac:dyDescent="0.35">
      <c r="A79">
        <v>1781698109438</v>
      </c>
      <c r="B79">
        <v>3541</v>
      </c>
      <c r="C79" t="s">
        <v>97</v>
      </c>
      <c r="D79">
        <v>200</v>
      </c>
      <c r="E79" t="s">
        <v>18</v>
      </c>
      <c r="F79" t="s">
        <v>19</v>
      </c>
      <c r="G79" t="b">
        <v>1</v>
      </c>
      <c r="I79">
        <v>36287</v>
      </c>
      <c r="J79">
        <v>0</v>
      </c>
      <c r="K79">
        <v>1</v>
      </c>
      <c r="L79">
        <v>1</v>
      </c>
      <c r="M79" t="s">
        <v>20</v>
      </c>
      <c r="N79">
        <v>3537</v>
      </c>
      <c r="O79">
        <v>0</v>
      </c>
      <c r="P79">
        <v>0</v>
      </c>
      <c r="Q79">
        <v>1000</v>
      </c>
    </row>
    <row r="80" spans="1:17" x14ac:dyDescent="0.35">
      <c r="A80">
        <v>1781698113001</v>
      </c>
      <c r="B80">
        <v>3584</v>
      </c>
      <c r="C80" t="s">
        <v>98</v>
      </c>
      <c r="D80">
        <v>200</v>
      </c>
      <c r="E80" t="s">
        <v>18</v>
      </c>
      <c r="F80" t="s">
        <v>19</v>
      </c>
      <c r="G80" t="b">
        <v>1</v>
      </c>
      <c r="I80">
        <v>1457</v>
      </c>
      <c r="J80">
        <v>0</v>
      </c>
      <c r="K80">
        <v>1</v>
      </c>
      <c r="L80">
        <v>1</v>
      </c>
      <c r="M80" t="s">
        <v>20</v>
      </c>
      <c r="N80">
        <v>3583</v>
      </c>
      <c r="O80">
        <v>0</v>
      </c>
      <c r="P80">
        <v>0</v>
      </c>
      <c r="Q80">
        <v>35</v>
      </c>
    </row>
    <row r="81" spans="1:17" x14ac:dyDescent="0.35">
      <c r="A81">
        <v>1781698116586</v>
      </c>
      <c r="B81">
        <v>3076</v>
      </c>
      <c r="C81" t="s">
        <v>99</v>
      </c>
      <c r="D81">
        <v>200</v>
      </c>
      <c r="E81" t="s">
        <v>18</v>
      </c>
      <c r="F81" t="s">
        <v>19</v>
      </c>
      <c r="G81" t="b">
        <v>1</v>
      </c>
      <c r="I81">
        <v>3856</v>
      </c>
      <c r="J81">
        <v>0</v>
      </c>
      <c r="K81">
        <v>1</v>
      </c>
      <c r="L81">
        <v>1</v>
      </c>
      <c r="M81" t="s">
        <v>20</v>
      </c>
      <c r="N81">
        <v>3075</v>
      </c>
      <c r="O81">
        <v>0</v>
      </c>
      <c r="P81">
        <v>0</v>
      </c>
      <c r="Q81">
        <v>125</v>
      </c>
    </row>
    <row r="82" spans="1:17" x14ac:dyDescent="0.35">
      <c r="A82">
        <v>1781698119662</v>
      </c>
      <c r="B82">
        <v>1848</v>
      </c>
      <c r="C82" t="s">
        <v>100</v>
      </c>
      <c r="D82">
        <v>200</v>
      </c>
      <c r="E82" t="s">
        <v>18</v>
      </c>
      <c r="F82" t="s">
        <v>19</v>
      </c>
      <c r="G82" t="b">
        <v>1</v>
      </c>
      <c r="I82">
        <v>29595</v>
      </c>
      <c r="J82">
        <v>0</v>
      </c>
      <c r="K82">
        <v>1</v>
      </c>
      <c r="L82">
        <v>1</v>
      </c>
      <c r="M82" t="s">
        <v>20</v>
      </c>
      <c r="N82">
        <v>1846</v>
      </c>
      <c r="O82">
        <v>0</v>
      </c>
      <c r="P82">
        <v>1</v>
      </c>
      <c r="Q82">
        <v>1000</v>
      </c>
    </row>
    <row r="83" spans="1:17" x14ac:dyDescent="0.35">
      <c r="A83">
        <v>1781698121511</v>
      </c>
      <c r="B83">
        <v>214</v>
      </c>
      <c r="C83" t="s">
        <v>101</v>
      </c>
      <c r="D83">
        <v>200</v>
      </c>
      <c r="E83" t="s">
        <v>18</v>
      </c>
      <c r="F83" t="s">
        <v>19</v>
      </c>
      <c r="G83" t="b">
        <v>1</v>
      </c>
      <c r="I83">
        <v>25192</v>
      </c>
      <c r="J83">
        <v>0</v>
      </c>
      <c r="K83">
        <v>1</v>
      </c>
      <c r="L83">
        <v>1</v>
      </c>
      <c r="M83" t="s">
        <v>20</v>
      </c>
      <c r="N83">
        <v>213</v>
      </c>
      <c r="O83">
        <v>0</v>
      </c>
      <c r="P83">
        <v>0</v>
      </c>
      <c r="Q83">
        <v>1000</v>
      </c>
    </row>
    <row r="84" spans="1:17" x14ac:dyDescent="0.35">
      <c r="A84">
        <v>1781698121726</v>
      </c>
      <c r="B84">
        <v>1767</v>
      </c>
      <c r="C84" t="s">
        <v>102</v>
      </c>
      <c r="D84">
        <v>200</v>
      </c>
      <c r="E84" t="s">
        <v>18</v>
      </c>
      <c r="F84" t="s">
        <v>19</v>
      </c>
      <c r="G84" t="b">
        <v>1</v>
      </c>
      <c r="I84">
        <v>22028</v>
      </c>
      <c r="J84">
        <v>0</v>
      </c>
      <c r="K84">
        <v>1</v>
      </c>
      <c r="L84">
        <v>1</v>
      </c>
      <c r="M84" t="s">
        <v>20</v>
      </c>
      <c r="N84">
        <v>1765</v>
      </c>
      <c r="O84">
        <v>0</v>
      </c>
      <c r="P84">
        <v>0</v>
      </c>
      <c r="Q84">
        <v>1000</v>
      </c>
    </row>
    <row r="85" spans="1:17" x14ac:dyDescent="0.35">
      <c r="A85">
        <v>1781698123494</v>
      </c>
      <c r="B85">
        <v>128</v>
      </c>
      <c r="C85" t="s">
        <v>103</v>
      </c>
      <c r="D85">
        <v>200</v>
      </c>
      <c r="E85" t="s">
        <v>18</v>
      </c>
      <c r="F85" t="s">
        <v>19</v>
      </c>
      <c r="G85" t="b">
        <v>1</v>
      </c>
      <c r="I85">
        <v>131</v>
      </c>
      <c r="J85">
        <v>0</v>
      </c>
      <c r="K85">
        <v>1</v>
      </c>
      <c r="L85">
        <v>1</v>
      </c>
      <c r="M85" t="s">
        <v>20</v>
      </c>
      <c r="N85">
        <v>127</v>
      </c>
      <c r="O85">
        <v>0</v>
      </c>
      <c r="P85">
        <v>1</v>
      </c>
      <c r="Q85">
        <v>5</v>
      </c>
    </row>
    <row r="86" spans="1:17" x14ac:dyDescent="0.35">
      <c r="A86">
        <v>1781698123623</v>
      </c>
      <c r="B86">
        <v>2114</v>
      </c>
      <c r="C86" t="s">
        <v>104</v>
      </c>
      <c r="D86">
        <v>200</v>
      </c>
      <c r="E86" t="s">
        <v>18</v>
      </c>
      <c r="F86" t="s">
        <v>19</v>
      </c>
      <c r="G86" t="b">
        <v>1</v>
      </c>
      <c r="I86">
        <v>27024</v>
      </c>
      <c r="J86">
        <v>0</v>
      </c>
      <c r="K86">
        <v>1</v>
      </c>
      <c r="L86">
        <v>1</v>
      </c>
      <c r="M86" t="s">
        <v>20</v>
      </c>
      <c r="N86">
        <v>2112</v>
      </c>
      <c r="O86">
        <v>0</v>
      </c>
      <c r="P86">
        <v>0</v>
      </c>
      <c r="Q86">
        <v>1000</v>
      </c>
    </row>
    <row r="87" spans="1:17" x14ac:dyDescent="0.35">
      <c r="A87">
        <v>1781698125738</v>
      </c>
      <c r="B87">
        <v>233</v>
      </c>
      <c r="C87" t="s">
        <v>105</v>
      </c>
      <c r="D87">
        <v>200</v>
      </c>
      <c r="E87" t="s">
        <v>18</v>
      </c>
      <c r="F87" t="s">
        <v>19</v>
      </c>
      <c r="G87" t="b">
        <v>1</v>
      </c>
      <c r="I87">
        <v>26</v>
      </c>
      <c r="J87">
        <v>0</v>
      </c>
      <c r="K87">
        <v>1</v>
      </c>
      <c r="L87">
        <v>1</v>
      </c>
      <c r="M87" t="s">
        <v>20</v>
      </c>
      <c r="N87">
        <v>233</v>
      </c>
      <c r="O87">
        <v>0</v>
      </c>
      <c r="P87">
        <v>1</v>
      </c>
      <c r="Q87">
        <v>0</v>
      </c>
    </row>
    <row r="88" spans="1:17" x14ac:dyDescent="0.35">
      <c r="A88">
        <v>1781698125975</v>
      </c>
      <c r="B88">
        <v>2301</v>
      </c>
      <c r="C88" t="s">
        <v>106</v>
      </c>
      <c r="D88">
        <v>200</v>
      </c>
      <c r="E88" t="s">
        <v>18</v>
      </c>
      <c r="F88" t="s">
        <v>19</v>
      </c>
      <c r="G88" t="b">
        <v>1</v>
      </c>
      <c r="I88">
        <v>19</v>
      </c>
      <c r="J88">
        <v>0</v>
      </c>
      <c r="K88">
        <v>1</v>
      </c>
      <c r="L88">
        <v>1</v>
      </c>
      <c r="M88" t="s">
        <v>20</v>
      </c>
      <c r="N88">
        <v>2301</v>
      </c>
      <c r="O88">
        <v>0</v>
      </c>
      <c r="P88">
        <v>0</v>
      </c>
      <c r="Q88">
        <v>0</v>
      </c>
    </row>
    <row r="89" spans="1:17" x14ac:dyDescent="0.35">
      <c r="A89">
        <v>1781698128277</v>
      </c>
      <c r="B89">
        <v>192</v>
      </c>
      <c r="C89" t="s">
        <v>107</v>
      </c>
      <c r="D89">
        <v>200</v>
      </c>
      <c r="E89" t="s">
        <v>18</v>
      </c>
      <c r="F89" t="s">
        <v>19</v>
      </c>
      <c r="G89" t="b">
        <v>1</v>
      </c>
      <c r="I89">
        <v>25188</v>
      </c>
      <c r="J89">
        <v>0</v>
      </c>
      <c r="K89">
        <v>1</v>
      </c>
      <c r="L89">
        <v>1</v>
      </c>
      <c r="M89" t="s">
        <v>20</v>
      </c>
      <c r="N89">
        <v>190</v>
      </c>
      <c r="O89">
        <v>0</v>
      </c>
      <c r="P89">
        <v>0</v>
      </c>
      <c r="Q89">
        <v>1000</v>
      </c>
    </row>
    <row r="90" spans="1:17" x14ac:dyDescent="0.35">
      <c r="A90">
        <v>1781698128470</v>
      </c>
      <c r="B90">
        <v>1799</v>
      </c>
      <c r="C90" t="s">
        <v>108</v>
      </c>
      <c r="D90">
        <v>200</v>
      </c>
      <c r="E90" t="s">
        <v>18</v>
      </c>
      <c r="F90" t="s">
        <v>19</v>
      </c>
      <c r="G90" t="b">
        <v>1</v>
      </c>
      <c r="I90">
        <v>22</v>
      </c>
      <c r="J90">
        <v>0</v>
      </c>
      <c r="K90">
        <v>1</v>
      </c>
      <c r="L90">
        <v>1</v>
      </c>
      <c r="M90" t="s">
        <v>20</v>
      </c>
      <c r="N90">
        <v>1798</v>
      </c>
      <c r="O90">
        <v>0</v>
      </c>
      <c r="P90">
        <v>0</v>
      </c>
      <c r="Q90">
        <v>0</v>
      </c>
    </row>
    <row r="91" spans="1:17" x14ac:dyDescent="0.35">
      <c r="A91">
        <v>1781698130270</v>
      </c>
      <c r="B91">
        <v>1755</v>
      </c>
      <c r="C91" t="s">
        <v>109</v>
      </c>
      <c r="D91">
        <v>200</v>
      </c>
      <c r="E91" t="s">
        <v>18</v>
      </c>
      <c r="F91" t="s">
        <v>19</v>
      </c>
      <c r="G91" t="b">
        <v>1</v>
      </c>
      <c r="I91">
        <v>33</v>
      </c>
      <c r="J91">
        <v>0</v>
      </c>
      <c r="K91">
        <v>1</v>
      </c>
      <c r="L91">
        <v>1</v>
      </c>
      <c r="M91" t="s">
        <v>20</v>
      </c>
      <c r="N91">
        <v>1754</v>
      </c>
      <c r="O91">
        <v>0</v>
      </c>
      <c r="P91">
        <v>0</v>
      </c>
      <c r="Q91">
        <v>0</v>
      </c>
    </row>
    <row r="92" spans="1:17" x14ac:dyDescent="0.35">
      <c r="A92">
        <v>1781698132024</v>
      </c>
      <c r="B92">
        <v>1898</v>
      </c>
      <c r="C92" t="s">
        <v>110</v>
      </c>
      <c r="D92">
        <v>200</v>
      </c>
      <c r="E92" t="s">
        <v>18</v>
      </c>
      <c r="F92" t="s">
        <v>19</v>
      </c>
      <c r="G92" t="b">
        <v>1</v>
      </c>
      <c r="I92">
        <v>28397</v>
      </c>
      <c r="J92">
        <v>0</v>
      </c>
      <c r="K92">
        <v>1</v>
      </c>
      <c r="L92">
        <v>1</v>
      </c>
      <c r="M92" t="s">
        <v>20</v>
      </c>
      <c r="N92">
        <v>1896</v>
      </c>
      <c r="O92">
        <v>0</v>
      </c>
      <c r="P92">
        <v>1</v>
      </c>
      <c r="Q92">
        <v>1000</v>
      </c>
    </row>
    <row r="93" spans="1:17" x14ac:dyDescent="0.35">
      <c r="A93">
        <v>1781698133923</v>
      </c>
      <c r="B93">
        <v>517</v>
      </c>
      <c r="C93" t="s">
        <v>111</v>
      </c>
      <c r="D93">
        <v>200</v>
      </c>
      <c r="E93" t="s">
        <v>18</v>
      </c>
      <c r="F93" t="s">
        <v>19</v>
      </c>
      <c r="G93" t="b">
        <v>1</v>
      </c>
      <c r="I93">
        <v>4008</v>
      </c>
      <c r="J93">
        <v>0</v>
      </c>
      <c r="K93">
        <v>1</v>
      </c>
      <c r="L93">
        <v>1</v>
      </c>
      <c r="M93" t="s">
        <v>20</v>
      </c>
      <c r="N93">
        <v>516</v>
      </c>
      <c r="O93">
        <v>0</v>
      </c>
      <c r="P93">
        <v>0</v>
      </c>
      <c r="Q93">
        <v>150</v>
      </c>
    </row>
    <row r="94" spans="1:17" x14ac:dyDescent="0.35">
      <c r="A94">
        <v>1781698134441</v>
      </c>
      <c r="B94">
        <v>2129</v>
      </c>
      <c r="C94" t="s">
        <v>112</v>
      </c>
      <c r="D94">
        <v>200</v>
      </c>
      <c r="E94" t="s">
        <v>18</v>
      </c>
      <c r="F94" t="s">
        <v>19</v>
      </c>
      <c r="G94" t="b">
        <v>1</v>
      </c>
      <c r="I94">
        <v>22025</v>
      </c>
      <c r="J94">
        <v>0</v>
      </c>
      <c r="K94">
        <v>1</v>
      </c>
      <c r="L94">
        <v>1</v>
      </c>
      <c r="M94" t="s">
        <v>20</v>
      </c>
      <c r="N94">
        <v>2126</v>
      </c>
      <c r="O94">
        <v>0</v>
      </c>
      <c r="P94">
        <v>0</v>
      </c>
      <c r="Q94">
        <v>1000</v>
      </c>
    </row>
    <row r="95" spans="1:17" x14ac:dyDescent="0.35">
      <c r="A95">
        <v>1781698136571</v>
      </c>
      <c r="B95">
        <v>495</v>
      </c>
      <c r="C95" t="s">
        <v>113</v>
      </c>
      <c r="D95">
        <v>200</v>
      </c>
      <c r="E95" t="s">
        <v>18</v>
      </c>
      <c r="F95" t="s">
        <v>19</v>
      </c>
      <c r="G95" t="b">
        <v>1</v>
      </c>
      <c r="I95">
        <v>139</v>
      </c>
      <c r="J95">
        <v>0</v>
      </c>
      <c r="K95">
        <v>1</v>
      </c>
      <c r="L95">
        <v>1</v>
      </c>
      <c r="M95" t="s">
        <v>20</v>
      </c>
      <c r="N95">
        <v>494</v>
      </c>
      <c r="O95">
        <v>0</v>
      </c>
      <c r="P95">
        <v>0</v>
      </c>
      <c r="Q95">
        <v>5</v>
      </c>
    </row>
    <row r="96" spans="1:17" x14ac:dyDescent="0.35">
      <c r="A96">
        <v>1781698137067</v>
      </c>
      <c r="B96">
        <v>2230</v>
      </c>
      <c r="C96" t="s">
        <v>114</v>
      </c>
      <c r="D96">
        <v>200</v>
      </c>
      <c r="E96" t="s">
        <v>18</v>
      </c>
      <c r="F96" t="s">
        <v>19</v>
      </c>
      <c r="G96" t="b">
        <v>1</v>
      </c>
      <c r="I96">
        <v>98</v>
      </c>
      <c r="J96">
        <v>0</v>
      </c>
      <c r="K96">
        <v>1</v>
      </c>
      <c r="L96">
        <v>1</v>
      </c>
      <c r="M96" t="s">
        <v>20</v>
      </c>
      <c r="N96">
        <v>2229</v>
      </c>
      <c r="O96">
        <v>0</v>
      </c>
      <c r="P96">
        <v>0</v>
      </c>
      <c r="Q96">
        <v>7</v>
      </c>
    </row>
    <row r="97" spans="1:17" x14ac:dyDescent="0.35">
      <c r="A97">
        <v>1781698139298</v>
      </c>
      <c r="B97">
        <v>439</v>
      </c>
      <c r="C97" t="s">
        <v>115</v>
      </c>
      <c r="D97">
        <v>200</v>
      </c>
      <c r="E97" t="s">
        <v>18</v>
      </c>
      <c r="F97" t="s">
        <v>19</v>
      </c>
      <c r="G97" t="b">
        <v>1</v>
      </c>
      <c r="I97">
        <v>259</v>
      </c>
      <c r="J97">
        <v>0</v>
      </c>
      <c r="K97">
        <v>1</v>
      </c>
      <c r="L97">
        <v>1</v>
      </c>
      <c r="M97" t="s">
        <v>20</v>
      </c>
      <c r="N97">
        <v>438</v>
      </c>
      <c r="O97">
        <v>0</v>
      </c>
      <c r="P97">
        <v>0</v>
      </c>
      <c r="Q97">
        <v>50</v>
      </c>
    </row>
    <row r="98" spans="1:17" x14ac:dyDescent="0.35">
      <c r="A98">
        <v>1781698139738</v>
      </c>
      <c r="B98">
        <v>865</v>
      </c>
      <c r="C98" t="s">
        <v>116</v>
      </c>
      <c r="D98">
        <v>200</v>
      </c>
      <c r="E98" t="s">
        <v>18</v>
      </c>
      <c r="F98" t="s">
        <v>19</v>
      </c>
      <c r="G98" t="b">
        <v>1</v>
      </c>
      <c r="I98">
        <v>474</v>
      </c>
      <c r="J98">
        <v>0</v>
      </c>
      <c r="K98">
        <v>1</v>
      </c>
      <c r="L98">
        <v>1</v>
      </c>
      <c r="M98" t="s">
        <v>20</v>
      </c>
      <c r="N98">
        <v>865</v>
      </c>
      <c r="O98">
        <v>0</v>
      </c>
      <c r="P98">
        <v>0</v>
      </c>
      <c r="Q98">
        <v>25</v>
      </c>
    </row>
    <row r="99" spans="1:17" x14ac:dyDescent="0.35">
      <c r="A99">
        <v>1781698140614</v>
      </c>
      <c r="B99">
        <v>320</v>
      </c>
      <c r="C99" t="s">
        <v>117</v>
      </c>
      <c r="D99">
        <v>200</v>
      </c>
      <c r="E99" t="s">
        <v>18</v>
      </c>
      <c r="F99" t="s">
        <v>19</v>
      </c>
      <c r="G99" t="b">
        <v>1</v>
      </c>
      <c r="I99">
        <v>351</v>
      </c>
      <c r="J99">
        <v>0</v>
      </c>
      <c r="K99">
        <v>1</v>
      </c>
      <c r="L99">
        <v>1</v>
      </c>
      <c r="M99" t="s">
        <v>20</v>
      </c>
      <c r="N99">
        <v>320</v>
      </c>
      <c r="O99">
        <v>0</v>
      </c>
      <c r="P99">
        <v>0</v>
      </c>
      <c r="Q99">
        <v>25</v>
      </c>
    </row>
    <row r="100" spans="1:17" x14ac:dyDescent="0.35">
      <c r="A100">
        <v>1781698140935</v>
      </c>
      <c r="B100">
        <v>2161</v>
      </c>
      <c r="C100" t="s">
        <v>118</v>
      </c>
      <c r="D100">
        <v>200</v>
      </c>
      <c r="E100" t="s">
        <v>18</v>
      </c>
      <c r="F100" t="s">
        <v>19</v>
      </c>
      <c r="G100" t="b">
        <v>1</v>
      </c>
      <c r="I100">
        <v>100</v>
      </c>
      <c r="J100">
        <v>0</v>
      </c>
      <c r="K100">
        <v>1</v>
      </c>
      <c r="L100">
        <v>1</v>
      </c>
      <c r="M100" t="s">
        <v>20</v>
      </c>
      <c r="N100">
        <v>2161</v>
      </c>
      <c r="O100">
        <v>0</v>
      </c>
      <c r="P100">
        <v>0</v>
      </c>
      <c r="Q100">
        <v>5</v>
      </c>
    </row>
    <row r="101" spans="1:17" x14ac:dyDescent="0.35">
      <c r="A101">
        <v>1781698143097</v>
      </c>
      <c r="B101">
        <v>119</v>
      </c>
      <c r="C101" t="s">
        <v>119</v>
      </c>
      <c r="D101">
        <v>200</v>
      </c>
      <c r="E101" t="s">
        <v>18</v>
      </c>
      <c r="F101" t="s">
        <v>19</v>
      </c>
      <c r="G101" t="b">
        <v>1</v>
      </c>
      <c r="I101">
        <v>45</v>
      </c>
      <c r="J101">
        <v>0</v>
      </c>
      <c r="K101">
        <v>1</v>
      </c>
      <c r="L101">
        <v>1</v>
      </c>
      <c r="M101" t="s">
        <v>20</v>
      </c>
      <c r="N101">
        <v>119</v>
      </c>
      <c r="O101">
        <v>0</v>
      </c>
      <c r="P101">
        <v>0</v>
      </c>
      <c r="Q101">
        <v>1</v>
      </c>
    </row>
    <row r="102" spans="1:17" x14ac:dyDescent="0.35">
      <c r="A102">
        <v>1781698143217</v>
      </c>
      <c r="B102">
        <v>560</v>
      </c>
      <c r="C102" t="s">
        <v>120</v>
      </c>
      <c r="D102">
        <v>200</v>
      </c>
      <c r="E102" t="s">
        <v>18</v>
      </c>
      <c r="F102" t="s">
        <v>19</v>
      </c>
      <c r="G102" t="b">
        <v>1</v>
      </c>
      <c r="I102">
        <v>78942</v>
      </c>
      <c r="J102">
        <v>0</v>
      </c>
      <c r="K102">
        <v>1</v>
      </c>
      <c r="L102">
        <v>1</v>
      </c>
      <c r="M102" t="s">
        <v>20</v>
      </c>
      <c r="N102">
        <v>548</v>
      </c>
      <c r="O102">
        <v>0</v>
      </c>
      <c r="P102">
        <v>0</v>
      </c>
      <c r="Q102">
        <v>1000</v>
      </c>
    </row>
    <row r="103" spans="1:17" x14ac:dyDescent="0.35">
      <c r="A103">
        <v>1781698143778</v>
      </c>
      <c r="B103">
        <v>920</v>
      </c>
      <c r="C103" t="s">
        <v>121</v>
      </c>
      <c r="D103">
        <v>200</v>
      </c>
      <c r="E103" t="s">
        <v>18</v>
      </c>
      <c r="F103" t="s">
        <v>19</v>
      </c>
      <c r="G103" t="b">
        <v>1</v>
      </c>
      <c r="I103">
        <v>67183</v>
      </c>
      <c r="J103">
        <v>0</v>
      </c>
      <c r="K103">
        <v>1</v>
      </c>
      <c r="L103">
        <v>1</v>
      </c>
      <c r="M103" t="s">
        <v>20</v>
      </c>
      <c r="N103">
        <v>905</v>
      </c>
      <c r="O103">
        <v>0</v>
      </c>
      <c r="P103">
        <v>0</v>
      </c>
      <c r="Q103">
        <v>1000</v>
      </c>
    </row>
    <row r="104" spans="1:17" x14ac:dyDescent="0.35">
      <c r="A104">
        <v>1781698144699</v>
      </c>
      <c r="B104">
        <v>552</v>
      </c>
      <c r="C104" t="s">
        <v>122</v>
      </c>
      <c r="D104">
        <v>200</v>
      </c>
      <c r="E104" t="s">
        <v>18</v>
      </c>
      <c r="F104" t="s">
        <v>19</v>
      </c>
      <c r="G104" t="b">
        <v>1</v>
      </c>
      <c r="I104">
        <v>75786</v>
      </c>
      <c r="J104">
        <v>0</v>
      </c>
      <c r="K104">
        <v>1</v>
      </c>
      <c r="L104">
        <v>1</v>
      </c>
      <c r="M104" t="s">
        <v>20</v>
      </c>
      <c r="N104">
        <v>548</v>
      </c>
      <c r="O104">
        <v>0</v>
      </c>
      <c r="P104">
        <v>0</v>
      </c>
      <c r="Q104">
        <v>1000</v>
      </c>
    </row>
    <row r="105" spans="1:17" x14ac:dyDescent="0.35">
      <c r="A105">
        <v>1781698145251</v>
      </c>
      <c r="B105">
        <v>1068</v>
      </c>
      <c r="C105" t="s">
        <v>123</v>
      </c>
      <c r="D105">
        <v>200</v>
      </c>
      <c r="E105" t="s">
        <v>18</v>
      </c>
      <c r="F105" t="s">
        <v>19</v>
      </c>
      <c r="G105" t="b">
        <v>1</v>
      </c>
      <c r="I105">
        <v>79095</v>
      </c>
      <c r="J105">
        <v>0</v>
      </c>
      <c r="K105">
        <v>1</v>
      </c>
      <c r="L105">
        <v>1</v>
      </c>
      <c r="M105" t="s">
        <v>20</v>
      </c>
      <c r="N105">
        <v>1064</v>
      </c>
      <c r="O105">
        <v>0</v>
      </c>
      <c r="P105">
        <v>0</v>
      </c>
      <c r="Q105">
        <v>1000</v>
      </c>
    </row>
    <row r="106" spans="1:17" x14ac:dyDescent="0.35">
      <c r="A106">
        <v>1781698146320</v>
      </c>
      <c r="B106">
        <v>678</v>
      </c>
      <c r="C106" t="s">
        <v>124</v>
      </c>
      <c r="D106">
        <v>200</v>
      </c>
      <c r="E106" t="s">
        <v>18</v>
      </c>
      <c r="F106" t="s">
        <v>19</v>
      </c>
      <c r="G106" t="b">
        <v>1</v>
      </c>
      <c r="I106">
        <v>71083</v>
      </c>
      <c r="J106">
        <v>0</v>
      </c>
      <c r="K106">
        <v>1</v>
      </c>
      <c r="L106">
        <v>1</v>
      </c>
      <c r="M106" t="s">
        <v>20</v>
      </c>
      <c r="N106">
        <v>674</v>
      </c>
      <c r="O106">
        <v>0</v>
      </c>
      <c r="P106">
        <v>0</v>
      </c>
      <c r="Q106">
        <v>1000</v>
      </c>
    </row>
    <row r="107" spans="1:17" x14ac:dyDescent="0.35">
      <c r="A107">
        <v>1781698146999</v>
      </c>
      <c r="B107">
        <v>1118</v>
      </c>
      <c r="C107" t="s">
        <v>125</v>
      </c>
      <c r="D107">
        <v>200</v>
      </c>
      <c r="E107" t="s">
        <v>18</v>
      </c>
      <c r="F107" t="s">
        <v>19</v>
      </c>
      <c r="G107" t="b">
        <v>1</v>
      </c>
      <c r="I107">
        <v>87860</v>
      </c>
      <c r="J107">
        <v>0</v>
      </c>
      <c r="K107">
        <v>1</v>
      </c>
      <c r="L107">
        <v>1</v>
      </c>
      <c r="M107" t="s">
        <v>20</v>
      </c>
      <c r="N107">
        <v>1114</v>
      </c>
      <c r="O107">
        <v>0</v>
      </c>
      <c r="P107">
        <v>0</v>
      </c>
      <c r="Q107">
        <v>1000</v>
      </c>
    </row>
    <row r="108" spans="1:17" x14ac:dyDescent="0.35">
      <c r="A108">
        <v>1781698148119</v>
      </c>
      <c r="B108">
        <v>437</v>
      </c>
      <c r="C108" t="s">
        <v>126</v>
      </c>
      <c r="D108">
        <v>200</v>
      </c>
      <c r="E108" t="s">
        <v>18</v>
      </c>
      <c r="F108" t="s">
        <v>19</v>
      </c>
      <c r="G108" t="b">
        <v>1</v>
      </c>
      <c r="I108">
        <v>76752</v>
      </c>
      <c r="J108">
        <v>0</v>
      </c>
      <c r="K108">
        <v>1</v>
      </c>
      <c r="L108">
        <v>1</v>
      </c>
      <c r="M108" t="s">
        <v>20</v>
      </c>
      <c r="N108">
        <v>432</v>
      </c>
      <c r="O108">
        <v>0</v>
      </c>
      <c r="P108">
        <v>0</v>
      </c>
      <c r="Q108">
        <v>914</v>
      </c>
    </row>
    <row r="109" spans="1:17" x14ac:dyDescent="0.35">
      <c r="A109">
        <v>1781698148560</v>
      </c>
      <c r="B109">
        <v>1655</v>
      </c>
      <c r="C109" t="s">
        <v>127</v>
      </c>
      <c r="D109">
        <v>200</v>
      </c>
      <c r="E109" t="s">
        <v>18</v>
      </c>
      <c r="F109" t="s">
        <v>19</v>
      </c>
      <c r="G109" t="b">
        <v>1</v>
      </c>
      <c r="I109">
        <v>119783</v>
      </c>
      <c r="J109">
        <v>0</v>
      </c>
      <c r="K109">
        <v>1</v>
      </c>
      <c r="L109">
        <v>1</v>
      </c>
      <c r="M109" t="s">
        <v>20</v>
      </c>
      <c r="N109">
        <v>1651</v>
      </c>
      <c r="O109">
        <v>0</v>
      </c>
      <c r="P109">
        <v>0</v>
      </c>
      <c r="Q109">
        <v>1000</v>
      </c>
    </row>
    <row r="110" spans="1:17" x14ac:dyDescent="0.35">
      <c r="A110">
        <v>1781698150216</v>
      </c>
      <c r="B110">
        <v>592</v>
      </c>
      <c r="C110" t="s">
        <v>128</v>
      </c>
      <c r="D110">
        <v>200</v>
      </c>
      <c r="E110" t="s">
        <v>18</v>
      </c>
      <c r="F110" t="s">
        <v>19</v>
      </c>
      <c r="G110" t="b">
        <v>1</v>
      </c>
      <c r="I110">
        <v>97381</v>
      </c>
      <c r="J110">
        <v>0</v>
      </c>
      <c r="K110">
        <v>1</v>
      </c>
      <c r="L110">
        <v>1</v>
      </c>
      <c r="M110" t="s">
        <v>20</v>
      </c>
      <c r="N110">
        <v>587</v>
      </c>
      <c r="O110">
        <v>0</v>
      </c>
      <c r="P110">
        <v>0</v>
      </c>
      <c r="Q110">
        <v>1000</v>
      </c>
    </row>
    <row r="111" spans="1:17" x14ac:dyDescent="0.35">
      <c r="A111">
        <v>1781698150808</v>
      </c>
      <c r="B111">
        <v>1186</v>
      </c>
      <c r="C111" t="s">
        <v>129</v>
      </c>
      <c r="D111">
        <v>200</v>
      </c>
      <c r="E111" t="s">
        <v>18</v>
      </c>
      <c r="F111" t="s">
        <v>19</v>
      </c>
      <c r="G111" t="b">
        <v>1</v>
      </c>
      <c r="I111">
        <v>95550</v>
      </c>
      <c r="J111">
        <v>0</v>
      </c>
      <c r="K111">
        <v>1</v>
      </c>
      <c r="L111">
        <v>1</v>
      </c>
      <c r="M111" t="s">
        <v>20</v>
      </c>
      <c r="N111">
        <v>1182</v>
      </c>
      <c r="O111">
        <v>0</v>
      </c>
      <c r="P111">
        <v>0</v>
      </c>
      <c r="Q111">
        <v>1000</v>
      </c>
    </row>
    <row r="112" spans="1:17" x14ac:dyDescent="0.35">
      <c r="A112">
        <v>1781698151995</v>
      </c>
      <c r="B112">
        <v>7143</v>
      </c>
      <c r="C112" t="s">
        <v>130</v>
      </c>
      <c r="D112">
        <v>200</v>
      </c>
      <c r="E112" t="s">
        <v>18</v>
      </c>
      <c r="F112" t="s">
        <v>19</v>
      </c>
      <c r="G112" t="b">
        <v>1</v>
      </c>
      <c r="I112">
        <v>844</v>
      </c>
      <c r="J112">
        <v>0</v>
      </c>
      <c r="K112">
        <v>1</v>
      </c>
      <c r="L112">
        <v>1</v>
      </c>
      <c r="M112" t="s">
        <v>20</v>
      </c>
      <c r="N112">
        <v>7142</v>
      </c>
      <c r="O112">
        <v>0</v>
      </c>
      <c r="P112">
        <v>0</v>
      </c>
      <c r="Q112">
        <v>50</v>
      </c>
    </row>
    <row r="113" spans="1:17" x14ac:dyDescent="0.35">
      <c r="A113">
        <v>1781698159139</v>
      </c>
      <c r="B113">
        <v>2215</v>
      </c>
      <c r="C113" t="s">
        <v>131</v>
      </c>
      <c r="D113">
        <v>200</v>
      </c>
      <c r="E113" t="s">
        <v>18</v>
      </c>
      <c r="F113" t="s">
        <v>19</v>
      </c>
      <c r="G113" t="b">
        <v>1</v>
      </c>
      <c r="I113">
        <v>411</v>
      </c>
      <c r="J113">
        <v>0</v>
      </c>
      <c r="K113">
        <v>1</v>
      </c>
      <c r="L113">
        <v>1</v>
      </c>
      <c r="M113" t="s">
        <v>20</v>
      </c>
      <c r="N113">
        <v>2215</v>
      </c>
      <c r="O113">
        <v>0</v>
      </c>
      <c r="P113">
        <v>0</v>
      </c>
      <c r="Q113">
        <v>20</v>
      </c>
    </row>
    <row r="114" spans="1:17" x14ac:dyDescent="0.35">
      <c r="A114">
        <v>1781698161356</v>
      </c>
      <c r="B114">
        <v>765</v>
      </c>
      <c r="C114" t="s">
        <v>132</v>
      </c>
      <c r="D114">
        <v>200</v>
      </c>
      <c r="E114" t="s">
        <v>18</v>
      </c>
      <c r="F114" t="s">
        <v>19</v>
      </c>
      <c r="G114" t="b">
        <v>1</v>
      </c>
      <c r="I114">
        <v>32738</v>
      </c>
      <c r="J114">
        <v>0</v>
      </c>
      <c r="K114">
        <v>1</v>
      </c>
      <c r="L114">
        <v>1</v>
      </c>
      <c r="M114" t="s">
        <v>20</v>
      </c>
      <c r="N114">
        <v>763</v>
      </c>
      <c r="O114">
        <v>0</v>
      </c>
      <c r="P114">
        <v>0</v>
      </c>
      <c r="Q114">
        <v>1000</v>
      </c>
    </row>
    <row r="115" spans="1:17" x14ac:dyDescent="0.35">
      <c r="A115">
        <v>1781698162122</v>
      </c>
      <c r="B115">
        <v>5663</v>
      </c>
      <c r="C115" t="s">
        <v>133</v>
      </c>
      <c r="D115">
        <v>200</v>
      </c>
      <c r="E115" t="s">
        <v>18</v>
      </c>
      <c r="F115" t="s">
        <v>19</v>
      </c>
      <c r="G115" t="b">
        <v>1</v>
      </c>
      <c r="I115">
        <v>376</v>
      </c>
      <c r="J115">
        <v>0</v>
      </c>
      <c r="K115">
        <v>1</v>
      </c>
      <c r="L115">
        <v>1</v>
      </c>
      <c r="M115" t="s">
        <v>20</v>
      </c>
      <c r="N115">
        <v>5662</v>
      </c>
      <c r="O115">
        <v>0</v>
      </c>
      <c r="P115">
        <v>1</v>
      </c>
      <c r="Q115">
        <v>15</v>
      </c>
    </row>
    <row r="116" spans="1:17" x14ac:dyDescent="0.35">
      <c r="A116">
        <v>1781698167784</v>
      </c>
      <c r="B116">
        <v>465</v>
      </c>
      <c r="C116" t="s">
        <v>134</v>
      </c>
      <c r="D116">
        <v>200</v>
      </c>
      <c r="E116" t="s">
        <v>18</v>
      </c>
      <c r="F116" t="s">
        <v>19</v>
      </c>
      <c r="G116" t="b">
        <v>1</v>
      </c>
      <c r="I116">
        <v>470</v>
      </c>
      <c r="J116">
        <v>0</v>
      </c>
      <c r="K116">
        <v>1</v>
      </c>
      <c r="L116">
        <v>1</v>
      </c>
      <c r="M116" t="s">
        <v>20</v>
      </c>
      <c r="N116">
        <v>465</v>
      </c>
      <c r="O116">
        <v>0</v>
      </c>
      <c r="P116">
        <v>1</v>
      </c>
      <c r="Q116">
        <v>20</v>
      </c>
    </row>
    <row r="117" spans="1:17" x14ac:dyDescent="0.35">
      <c r="A117">
        <v>1781698168250</v>
      </c>
      <c r="B117">
        <v>3309</v>
      </c>
      <c r="C117" t="s">
        <v>135</v>
      </c>
      <c r="D117">
        <v>200</v>
      </c>
      <c r="E117" t="s">
        <v>18</v>
      </c>
      <c r="F117" t="s">
        <v>19</v>
      </c>
      <c r="G117" t="b">
        <v>1</v>
      </c>
      <c r="I117">
        <v>2806</v>
      </c>
      <c r="J117">
        <v>0</v>
      </c>
      <c r="K117">
        <v>1</v>
      </c>
      <c r="L117">
        <v>1</v>
      </c>
      <c r="M117" t="s">
        <v>20</v>
      </c>
      <c r="N117">
        <v>3308</v>
      </c>
      <c r="O117">
        <v>0</v>
      </c>
      <c r="P117">
        <v>0</v>
      </c>
      <c r="Q117">
        <v>125</v>
      </c>
    </row>
    <row r="118" spans="1:17" x14ac:dyDescent="0.35">
      <c r="A118">
        <v>1781698171572</v>
      </c>
      <c r="B118">
        <v>1330</v>
      </c>
      <c r="C118" t="s">
        <v>136</v>
      </c>
      <c r="D118">
        <v>200</v>
      </c>
      <c r="E118" t="s">
        <v>18</v>
      </c>
      <c r="F118" t="s">
        <v>19</v>
      </c>
      <c r="G118" t="b">
        <v>1</v>
      </c>
      <c r="I118">
        <v>421</v>
      </c>
      <c r="J118">
        <v>0</v>
      </c>
      <c r="K118">
        <v>1</v>
      </c>
      <c r="L118">
        <v>1</v>
      </c>
      <c r="M118" t="s">
        <v>20</v>
      </c>
      <c r="N118">
        <v>1330</v>
      </c>
      <c r="O118">
        <v>0</v>
      </c>
      <c r="P118">
        <v>0</v>
      </c>
      <c r="Q118">
        <v>20</v>
      </c>
    </row>
    <row r="119" spans="1:17" x14ac:dyDescent="0.35">
      <c r="A119">
        <v>1781698172903</v>
      </c>
      <c r="B119">
        <v>555</v>
      </c>
      <c r="C119" t="s">
        <v>137</v>
      </c>
      <c r="D119">
        <v>200</v>
      </c>
      <c r="E119" t="s">
        <v>18</v>
      </c>
      <c r="F119" t="s">
        <v>19</v>
      </c>
      <c r="G119" t="b">
        <v>1</v>
      </c>
      <c r="I119">
        <v>152</v>
      </c>
      <c r="J119">
        <v>0</v>
      </c>
      <c r="K119">
        <v>1</v>
      </c>
      <c r="L119">
        <v>1</v>
      </c>
      <c r="M119" t="s">
        <v>20</v>
      </c>
      <c r="N119">
        <v>555</v>
      </c>
      <c r="O119">
        <v>0</v>
      </c>
      <c r="P119">
        <v>1</v>
      </c>
      <c r="Q119">
        <v>4</v>
      </c>
    </row>
    <row r="120" spans="1:17" x14ac:dyDescent="0.35">
      <c r="A120">
        <v>1781698173460</v>
      </c>
      <c r="B120">
        <v>521</v>
      </c>
      <c r="C120" t="s">
        <v>138</v>
      </c>
      <c r="D120">
        <v>200</v>
      </c>
      <c r="E120" t="s">
        <v>18</v>
      </c>
      <c r="F120" t="s">
        <v>19</v>
      </c>
      <c r="G120" t="b">
        <v>1</v>
      </c>
      <c r="I120">
        <v>21359</v>
      </c>
      <c r="J120">
        <v>0</v>
      </c>
      <c r="K120">
        <v>1</v>
      </c>
      <c r="L120">
        <v>1</v>
      </c>
      <c r="M120" t="s">
        <v>20</v>
      </c>
      <c r="N120">
        <v>518</v>
      </c>
      <c r="O120">
        <v>0</v>
      </c>
      <c r="P120">
        <v>0</v>
      </c>
      <c r="Q120">
        <v>1000</v>
      </c>
    </row>
    <row r="121" spans="1:17" x14ac:dyDescent="0.35">
      <c r="A121">
        <v>1781698173981</v>
      </c>
      <c r="B121">
        <v>6273</v>
      </c>
      <c r="C121" t="s">
        <v>139</v>
      </c>
      <c r="D121">
        <v>200</v>
      </c>
      <c r="E121" t="s">
        <v>18</v>
      </c>
      <c r="F121" t="s">
        <v>19</v>
      </c>
      <c r="G121" t="b">
        <v>1</v>
      </c>
      <c r="I121">
        <v>744</v>
      </c>
      <c r="J121">
        <v>0</v>
      </c>
      <c r="K121">
        <v>1</v>
      </c>
      <c r="L121">
        <v>1</v>
      </c>
      <c r="M121" t="s">
        <v>20</v>
      </c>
      <c r="N121">
        <v>6272</v>
      </c>
      <c r="O121">
        <v>0</v>
      </c>
      <c r="P121">
        <v>1</v>
      </c>
      <c r="Q121">
        <v>25</v>
      </c>
    </row>
    <row r="122" spans="1:17" x14ac:dyDescent="0.35">
      <c r="A122">
        <v>1781698180255</v>
      </c>
      <c r="B122">
        <v>2748</v>
      </c>
      <c r="C122" t="s">
        <v>140</v>
      </c>
      <c r="D122">
        <v>200</v>
      </c>
      <c r="E122" t="s">
        <v>18</v>
      </c>
      <c r="F122" t="s">
        <v>19</v>
      </c>
      <c r="G122" t="b">
        <v>1</v>
      </c>
      <c r="I122">
        <v>3301</v>
      </c>
      <c r="J122">
        <v>0</v>
      </c>
      <c r="K122">
        <v>1</v>
      </c>
      <c r="L122">
        <v>1</v>
      </c>
      <c r="M122" t="s">
        <v>20</v>
      </c>
      <c r="N122">
        <v>2747</v>
      </c>
      <c r="O122">
        <v>0</v>
      </c>
      <c r="P122">
        <v>0</v>
      </c>
      <c r="Q122">
        <v>125</v>
      </c>
    </row>
    <row r="123" spans="1:17" x14ac:dyDescent="0.35">
      <c r="A123">
        <v>1781698183004</v>
      </c>
      <c r="B123">
        <v>3097</v>
      </c>
      <c r="C123" t="s">
        <v>141</v>
      </c>
      <c r="D123">
        <v>200</v>
      </c>
      <c r="E123" t="s">
        <v>18</v>
      </c>
      <c r="F123" t="s">
        <v>19</v>
      </c>
      <c r="G123" t="b">
        <v>1</v>
      </c>
      <c r="I123">
        <v>766</v>
      </c>
      <c r="J123">
        <v>0</v>
      </c>
      <c r="K123">
        <v>1</v>
      </c>
      <c r="L123">
        <v>1</v>
      </c>
      <c r="M123" t="s">
        <v>20</v>
      </c>
      <c r="N123">
        <v>3096</v>
      </c>
      <c r="O123">
        <v>0</v>
      </c>
      <c r="P123">
        <v>0</v>
      </c>
      <c r="Q123">
        <v>25</v>
      </c>
    </row>
    <row r="124" spans="1:17" x14ac:dyDescent="0.35">
      <c r="A124">
        <v>1781698186102</v>
      </c>
      <c r="B124">
        <v>2592</v>
      </c>
      <c r="C124" t="s">
        <v>142</v>
      </c>
      <c r="D124">
        <v>200</v>
      </c>
      <c r="E124" t="s">
        <v>18</v>
      </c>
      <c r="F124" t="s">
        <v>19</v>
      </c>
      <c r="G124" t="b">
        <v>1</v>
      </c>
      <c r="I124">
        <v>945</v>
      </c>
      <c r="J124">
        <v>0</v>
      </c>
      <c r="K124">
        <v>1</v>
      </c>
      <c r="L124">
        <v>1</v>
      </c>
      <c r="M124" t="s">
        <v>20</v>
      </c>
      <c r="N124">
        <v>2592</v>
      </c>
      <c r="O124">
        <v>0</v>
      </c>
      <c r="P124">
        <v>0</v>
      </c>
      <c r="Q124">
        <v>50</v>
      </c>
    </row>
    <row r="125" spans="1:17" x14ac:dyDescent="0.35">
      <c r="A125">
        <v>1781698188696</v>
      </c>
      <c r="B125">
        <v>3126</v>
      </c>
      <c r="C125" t="s">
        <v>143</v>
      </c>
      <c r="D125">
        <v>200</v>
      </c>
      <c r="E125" t="s">
        <v>18</v>
      </c>
      <c r="F125" t="s">
        <v>19</v>
      </c>
      <c r="G125" t="b">
        <v>1</v>
      </c>
      <c r="I125">
        <v>678</v>
      </c>
      <c r="J125">
        <v>0</v>
      </c>
      <c r="K125">
        <v>1</v>
      </c>
      <c r="L125">
        <v>1</v>
      </c>
      <c r="M125" t="s">
        <v>20</v>
      </c>
      <c r="N125">
        <v>3125</v>
      </c>
      <c r="O125">
        <v>0</v>
      </c>
      <c r="P125">
        <v>0</v>
      </c>
      <c r="Q125">
        <v>25</v>
      </c>
    </row>
    <row r="126" spans="1:17" x14ac:dyDescent="0.35">
      <c r="A126">
        <v>1781698191824</v>
      </c>
      <c r="B126">
        <v>3184</v>
      </c>
      <c r="C126" t="s">
        <v>144</v>
      </c>
      <c r="D126">
        <v>200</v>
      </c>
      <c r="E126" t="s">
        <v>18</v>
      </c>
      <c r="F126" t="s">
        <v>19</v>
      </c>
      <c r="G126" t="b">
        <v>1</v>
      </c>
      <c r="I126">
        <v>17647</v>
      </c>
      <c r="J126">
        <v>0</v>
      </c>
      <c r="K126">
        <v>1</v>
      </c>
      <c r="L126">
        <v>1</v>
      </c>
      <c r="M126" t="s">
        <v>20</v>
      </c>
      <c r="N126">
        <v>3181</v>
      </c>
      <c r="O126">
        <v>0</v>
      </c>
      <c r="P126">
        <v>0</v>
      </c>
      <c r="Q126">
        <v>625</v>
      </c>
    </row>
    <row r="127" spans="1:17" x14ac:dyDescent="0.35">
      <c r="A127">
        <v>1781698195012</v>
      </c>
      <c r="B127">
        <v>2841</v>
      </c>
      <c r="C127" t="s">
        <v>145</v>
      </c>
      <c r="D127">
        <v>200</v>
      </c>
      <c r="E127" t="s">
        <v>18</v>
      </c>
      <c r="F127" t="s">
        <v>19</v>
      </c>
      <c r="G127" t="b">
        <v>1</v>
      </c>
      <c r="I127">
        <v>842</v>
      </c>
      <c r="J127">
        <v>0</v>
      </c>
      <c r="K127">
        <v>1</v>
      </c>
      <c r="L127">
        <v>1</v>
      </c>
      <c r="M127" t="s">
        <v>20</v>
      </c>
      <c r="N127">
        <v>2840</v>
      </c>
      <c r="O127">
        <v>0</v>
      </c>
      <c r="P127">
        <v>11</v>
      </c>
      <c r="Q127">
        <v>25</v>
      </c>
    </row>
    <row r="128" spans="1:17" x14ac:dyDescent="0.35">
      <c r="A128">
        <v>1781698197853</v>
      </c>
      <c r="B128">
        <v>731</v>
      </c>
      <c r="C128" t="s">
        <v>146</v>
      </c>
      <c r="D128">
        <v>200</v>
      </c>
      <c r="E128" t="s">
        <v>18</v>
      </c>
      <c r="F128" t="s">
        <v>19</v>
      </c>
      <c r="G128" t="b">
        <v>1</v>
      </c>
      <c r="I128">
        <v>5066</v>
      </c>
      <c r="J128">
        <v>0</v>
      </c>
      <c r="K128">
        <v>1</v>
      </c>
      <c r="L128">
        <v>1</v>
      </c>
      <c r="M128" t="s">
        <v>20</v>
      </c>
      <c r="N128">
        <v>730</v>
      </c>
      <c r="O128">
        <v>0</v>
      </c>
      <c r="P128">
        <v>0</v>
      </c>
      <c r="Q128">
        <v>125</v>
      </c>
    </row>
    <row r="129" spans="1:17" x14ac:dyDescent="0.35">
      <c r="A129">
        <v>1781698198603</v>
      </c>
      <c r="B129">
        <v>1531</v>
      </c>
      <c r="C129" t="s">
        <v>147</v>
      </c>
      <c r="D129">
        <v>200</v>
      </c>
      <c r="E129" t="s">
        <v>18</v>
      </c>
      <c r="F129" t="s">
        <v>19</v>
      </c>
      <c r="G129" t="b">
        <v>1</v>
      </c>
      <c r="I129">
        <v>901</v>
      </c>
      <c r="J129">
        <v>0</v>
      </c>
      <c r="K129">
        <v>1</v>
      </c>
      <c r="L129">
        <v>1</v>
      </c>
      <c r="M129" t="s">
        <v>20</v>
      </c>
      <c r="N129">
        <v>1530</v>
      </c>
      <c r="O129">
        <v>0</v>
      </c>
      <c r="P129">
        <v>1</v>
      </c>
      <c r="Q129">
        <v>25</v>
      </c>
    </row>
    <row r="130" spans="1:17" x14ac:dyDescent="0.35">
      <c r="A130">
        <v>1781698200159</v>
      </c>
      <c r="B130">
        <v>1849</v>
      </c>
      <c r="C130" t="s">
        <v>148</v>
      </c>
      <c r="D130">
        <v>200</v>
      </c>
      <c r="E130" t="s">
        <v>18</v>
      </c>
      <c r="F130" t="s">
        <v>19</v>
      </c>
      <c r="G130" t="b">
        <v>1</v>
      </c>
      <c r="I130">
        <v>10762</v>
      </c>
      <c r="J130">
        <v>0</v>
      </c>
      <c r="K130">
        <v>1</v>
      </c>
      <c r="L130">
        <v>1</v>
      </c>
      <c r="M130" t="s">
        <v>20</v>
      </c>
      <c r="N130">
        <v>1848</v>
      </c>
      <c r="O130">
        <v>0</v>
      </c>
      <c r="P130">
        <v>0</v>
      </c>
      <c r="Q130">
        <v>250</v>
      </c>
    </row>
    <row r="131" spans="1:17" x14ac:dyDescent="0.35">
      <c r="A131">
        <v>1781698202010</v>
      </c>
      <c r="B131">
        <v>6986</v>
      </c>
      <c r="C131" t="s">
        <v>149</v>
      </c>
      <c r="D131">
        <v>200</v>
      </c>
      <c r="E131" t="s">
        <v>18</v>
      </c>
      <c r="F131" t="s">
        <v>19</v>
      </c>
      <c r="G131" t="b">
        <v>1</v>
      </c>
      <c r="I131">
        <v>6034</v>
      </c>
      <c r="J131">
        <v>0</v>
      </c>
      <c r="K131">
        <v>1</v>
      </c>
      <c r="L131">
        <v>1</v>
      </c>
      <c r="M131" t="s">
        <v>20</v>
      </c>
      <c r="N131">
        <v>6985</v>
      </c>
      <c r="O131">
        <v>0</v>
      </c>
      <c r="P131">
        <v>0</v>
      </c>
      <c r="Q131">
        <v>125</v>
      </c>
    </row>
    <row r="132" spans="1:17" x14ac:dyDescent="0.35">
      <c r="A132">
        <v>1781698208998</v>
      </c>
      <c r="B132">
        <v>1819</v>
      </c>
      <c r="C132" t="s">
        <v>150</v>
      </c>
      <c r="D132">
        <v>200</v>
      </c>
      <c r="E132" t="s">
        <v>18</v>
      </c>
      <c r="F132" t="s">
        <v>19</v>
      </c>
      <c r="G132" t="b">
        <v>1</v>
      </c>
      <c r="I132">
        <v>582</v>
      </c>
      <c r="J132">
        <v>0</v>
      </c>
      <c r="K132">
        <v>1</v>
      </c>
      <c r="L132">
        <v>1</v>
      </c>
      <c r="M132" t="s">
        <v>20</v>
      </c>
      <c r="N132">
        <v>1819</v>
      </c>
      <c r="O132">
        <v>0</v>
      </c>
      <c r="P132">
        <v>1</v>
      </c>
      <c r="Q132">
        <v>25</v>
      </c>
    </row>
    <row r="133" spans="1:17" x14ac:dyDescent="0.35">
      <c r="A133">
        <v>1781698210818</v>
      </c>
      <c r="B133">
        <v>2335</v>
      </c>
      <c r="C133" t="s">
        <v>151</v>
      </c>
      <c r="D133">
        <v>200</v>
      </c>
      <c r="E133" t="s">
        <v>18</v>
      </c>
      <c r="F133" t="s">
        <v>19</v>
      </c>
      <c r="G133" t="b">
        <v>1</v>
      </c>
      <c r="I133">
        <v>103</v>
      </c>
      <c r="J133">
        <v>0</v>
      </c>
      <c r="K133">
        <v>1</v>
      </c>
      <c r="L133">
        <v>1</v>
      </c>
      <c r="M133" t="s">
        <v>20</v>
      </c>
      <c r="N133">
        <v>2335</v>
      </c>
      <c r="O133">
        <v>0</v>
      </c>
      <c r="P133">
        <v>0</v>
      </c>
      <c r="Q133">
        <v>5</v>
      </c>
    </row>
    <row r="134" spans="1:17" x14ac:dyDescent="0.35">
      <c r="A134">
        <v>1781698213153</v>
      </c>
      <c r="B134">
        <v>2214</v>
      </c>
      <c r="C134" t="s">
        <v>152</v>
      </c>
      <c r="D134">
        <v>200</v>
      </c>
      <c r="E134" t="s">
        <v>18</v>
      </c>
      <c r="F134" t="s">
        <v>19</v>
      </c>
      <c r="G134" t="b">
        <v>1</v>
      </c>
      <c r="I134">
        <v>35</v>
      </c>
      <c r="J134">
        <v>0</v>
      </c>
      <c r="K134">
        <v>1</v>
      </c>
      <c r="L134">
        <v>1</v>
      </c>
      <c r="M134" t="s">
        <v>20</v>
      </c>
      <c r="N134">
        <v>2214</v>
      </c>
      <c r="O134">
        <v>0</v>
      </c>
      <c r="P134">
        <v>0</v>
      </c>
      <c r="Q134">
        <v>0</v>
      </c>
    </row>
    <row r="135" spans="1:17" x14ac:dyDescent="0.35">
      <c r="A135">
        <v>1781698215368</v>
      </c>
      <c r="B135">
        <v>5442</v>
      </c>
      <c r="C135" t="s">
        <v>153</v>
      </c>
      <c r="D135">
        <v>200</v>
      </c>
      <c r="E135" t="s">
        <v>18</v>
      </c>
      <c r="F135" t="s">
        <v>19</v>
      </c>
      <c r="G135" t="b">
        <v>1</v>
      </c>
      <c r="I135">
        <v>19217</v>
      </c>
      <c r="J135">
        <v>0</v>
      </c>
      <c r="K135">
        <v>1</v>
      </c>
      <c r="L135">
        <v>1</v>
      </c>
      <c r="M135" t="s">
        <v>20</v>
      </c>
      <c r="N135">
        <v>5440</v>
      </c>
      <c r="O135">
        <v>0</v>
      </c>
      <c r="P135">
        <v>0</v>
      </c>
      <c r="Q135">
        <v>625</v>
      </c>
    </row>
    <row r="136" spans="1:17" x14ac:dyDescent="0.35">
      <c r="A136">
        <v>1781698220811</v>
      </c>
      <c r="B136">
        <v>1330</v>
      </c>
      <c r="C136" t="s">
        <v>154</v>
      </c>
      <c r="D136">
        <v>200</v>
      </c>
      <c r="E136" t="s">
        <v>18</v>
      </c>
      <c r="F136" t="s">
        <v>19</v>
      </c>
      <c r="G136" t="b">
        <v>1</v>
      </c>
      <c r="I136">
        <v>111</v>
      </c>
      <c r="J136">
        <v>0</v>
      </c>
      <c r="K136">
        <v>1</v>
      </c>
      <c r="L136">
        <v>1</v>
      </c>
      <c r="M136" t="s">
        <v>20</v>
      </c>
      <c r="N136">
        <v>1329</v>
      </c>
      <c r="O136">
        <v>0</v>
      </c>
      <c r="P136">
        <v>0</v>
      </c>
      <c r="Q136">
        <v>5</v>
      </c>
    </row>
    <row r="137" spans="1:17" x14ac:dyDescent="0.35">
      <c r="A137">
        <v>1781698222143</v>
      </c>
      <c r="B137">
        <v>845</v>
      </c>
      <c r="C137" t="s">
        <v>155</v>
      </c>
      <c r="D137">
        <v>200</v>
      </c>
      <c r="E137" t="s">
        <v>18</v>
      </c>
      <c r="F137" t="s">
        <v>19</v>
      </c>
      <c r="G137" t="b">
        <v>1</v>
      </c>
      <c r="I137">
        <v>2763</v>
      </c>
      <c r="J137">
        <v>0</v>
      </c>
      <c r="K137">
        <v>1</v>
      </c>
      <c r="L137">
        <v>1</v>
      </c>
      <c r="M137" t="s">
        <v>20</v>
      </c>
      <c r="N137">
        <v>845</v>
      </c>
      <c r="O137">
        <v>0</v>
      </c>
      <c r="P137">
        <v>0</v>
      </c>
      <c r="Q137">
        <v>125</v>
      </c>
    </row>
    <row r="138" spans="1:17" x14ac:dyDescent="0.35">
      <c r="A138">
        <v>1781698222989</v>
      </c>
      <c r="B138">
        <v>1350</v>
      </c>
      <c r="C138" t="s">
        <v>156</v>
      </c>
      <c r="D138">
        <v>200</v>
      </c>
      <c r="E138" t="s">
        <v>18</v>
      </c>
      <c r="F138" t="s">
        <v>19</v>
      </c>
      <c r="G138" t="b">
        <v>1</v>
      </c>
      <c r="I138">
        <v>838</v>
      </c>
      <c r="J138">
        <v>0</v>
      </c>
      <c r="K138">
        <v>1</v>
      </c>
      <c r="L138">
        <v>1</v>
      </c>
      <c r="M138" t="s">
        <v>20</v>
      </c>
      <c r="N138">
        <v>1350</v>
      </c>
      <c r="O138">
        <v>0</v>
      </c>
      <c r="P138">
        <v>0</v>
      </c>
      <c r="Q138">
        <v>25</v>
      </c>
    </row>
    <row r="139" spans="1:17" x14ac:dyDescent="0.35">
      <c r="A139">
        <v>1781698224340</v>
      </c>
      <c r="B139">
        <v>1437</v>
      </c>
      <c r="C139" t="s">
        <v>157</v>
      </c>
      <c r="D139">
        <v>200</v>
      </c>
      <c r="E139" t="s">
        <v>18</v>
      </c>
      <c r="F139" t="s">
        <v>19</v>
      </c>
      <c r="G139" t="b">
        <v>1</v>
      </c>
      <c r="I139">
        <v>591</v>
      </c>
      <c r="J139">
        <v>0</v>
      </c>
      <c r="K139">
        <v>1</v>
      </c>
      <c r="L139">
        <v>1</v>
      </c>
      <c r="M139" t="s">
        <v>20</v>
      </c>
      <c r="N139">
        <v>1437</v>
      </c>
      <c r="O139">
        <v>0</v>
      </c>
      <c r="P139">
        <v>0</v>
      </c>
      <c r="Q139">
        <v>25</v>
      </c>
    </row>
    <row r="140" spans="1:17" x14ac:dyDescent="0.35">
      <c r="A140">
        <v>1781698225778</v>
      </c>
      <c r="B140">
        <v>2410</v>
      </c>
      <c r="C140" t="s">
        <v>158</v>
      </c>
      <c r="D140">
        <v>200</v>
      </c>
      <c r="E140" t="s">
        <v>18</v>
      </c>
      <c r="F140" t="s">
        <v>19</v>
      </c>
      <c r="G140" t="b">
        <v>1</v>
      </c>
      <c r="I140">
        <v>5971</v>
      </c>
      <c r="J140">
        <v>0</v>
      </c>
      <c r="K140">
        <v>1</v>
      </c>
      <c r="L140">
        <v>1</v>
      </c>
      <c r="M140" t="s">
        <v>20</v>
      </c>
      <c r="N140">
        <v>2409</v>
      </c>
      <c r="O140">
        <v>0</v>
      </c>
      <c r="P140">
        <v>1</v>
      </c>
      <c r="Q140">
        <v>150</v>
      </c>
    </row>
    <row r="141" spans="1:17" x14ac:dyDescent="0.35">
      <c r="A141">
        <v>1781698228188</v>
      </c>
      <c r="B141">
        <v>8626</v>
      </c>
      <c r="C141" t="s">
        <v>159</v>
      </c>
      <c r="D141">
        <v>200</v>
      </c>
      <c r="E141" t="s">
        <v>18</v>
      </c>
      <c r="F141" t="s">
        <v>19</v>
      </c>
      <c r="G141" t="b">
        <v>1</v>
      </c>
      <c r="I141">
        <v>1159</v>
      </c>
      <c r="J141">
        <v>0</v>
      </c>
      <c r="K141">
        <v>1</v>
      </c>
      <c r="L141">
        <v>1</v>
      </c>
      <c r="M141" t="s">
        <v>20</v>
      </c>
      <c r="N141">
        <v>8623</v>
      </c>
      <c r="O141">
        <v>0</v>
      </c>
      <c r="P141">
        <v>0</v>
      </c>
      <c r="Q141">
        <v>25</v>
      </c>
    </row>
    <row r="142" spans="1:17" x14ac:dyDescent="0.35">
      <c r="A142">
        <v>1781698236817</v>
      </c>
      <c r="B142">
        <v>3808</v>
      </c>
      <c r="C142" t="s">
        <v>160</v>
      </c>
      <c r="D142">
        <v>200</v>
      </c>
      <c r="E142" t="s">
        <v>18</v>
      </c>
      <c r="F142" t="s">
        <v>19</v>
      </c>
      <c r="G142" t="b">
        <v>1</v>
      </c>
      <c r="I142">
        <v>5362</v>
      </c>
      <c r="J142">
        <v>0</v>
      </c>
      <c r="K142">
        <v>1</v>
      </c>
      <c r="L142">
        <v>1</v>
      </c>
      <c r="M142" t="s">
        <v>20</v>
      </c>
      <c r="N142">
        <v>3807</v>
      </c>
      <c r="O142">
        <v>0</v>
      </c>
      <c r="P142">
        <v>0</v>
      </c>
      <c r="Q142">
        <v>175</v>
      </c>
    </row>
    <row r="143" spans="1:17" x14ac:dyDescent="0.35">
      <c r="A143">
        <v>1781698240627</v>
      </c>
      <c r="B143">
        <v>3213</v>
      </c>
      <c r="C143" t="s">
        <v>161</v>
      </c>
      <c r="D143">
        <v>200</v>
      </c>
      <c r="E143" t="s">
        <v>18</v>
      </c>
      <c r="F143" t="s">
        <v>19</v>
      </c>
      <c r="G143" t="b">
        <v>1</v>
      </c>
      <c r="I143">
        <v>770</v>
      </c>
      <c r="J143">
        <v>0</v>
      </c>
      <c r="K143">
        <v>1</v>
      </c>
      <c r="L143">
        <v>1</v>
      </c>
      <c r="M143" t="s">
        <v>20</v>
      </c>
      <c r="N143">
        <v>3213</v>
      </c>
      <c r="O143">
        <v>0</v>
      </c>
      <c r="P143">
        <v>0</v>
      </c>
      <c r="Q143">
        <v>25</v>
      </c>
    </row>
    <row r="144" spans="1:17" x14ac:dyDescent="0.35">
      <c r="A144">
        <v>1781698243840</v>
      </c>
      <c r="B144">
        <v>804</v>
      </c>
      <c r="C144" t="s">
        <v>162</v>
      </c>
      <c r="D144">
        <v>200</v>
      </c>
      <c r="E144" t="s">
        <v>18</v>
      </c>
      <c r="F144" t="s">
        <v>19</v>
      </c>
      <c r="G144" t="b">
        <v>1</v>
      </c>
      <c r="I144">
        <v>1007</v>
      </c>
      <c r="J144">
        <v>0</v>
      </c>
      <c r="K144">
        <v>1</v>
      </c>
      <c r="L144">
        <v>1</v>
      </c>
      <c r="M144" t="s">
        <v>20</v>
      </c>
      <c r="N144">
        <v>804</v>
      </c>
      <c r="O144">
        <v>0</v>
      </c>
      <c r="P144">
        <v>0</v>
      </c>
      <c r="Q144">
        <v>25</v>
      </c>
    </row>
    <row r="145" spans="1:17" x14ac:dyDescent="0.35">
      <c r="A145">
        <v>1781698244646</v>
      </c>
      <c r="B145">
        <v>297</v>
      </c>
      <c r="C145" t="s">
        <v>163</v>
      </c>
      <c r="D145">
        <v>200</v>
      </c>
      <c r="E145" t="s">
        <v>18</v>
      </c>
      <c r="F145" t="s">
        <v>19</v>
      </c>
      <c r="G145" t="b">
        <v>1</v>
      </c>
      <c r="I145">
        <v>18257</v>
      </c>
      <c r="J145">
        <v>0</v>
      </c>
      <c r="K145">
        <v>1</v>
      </c>
      <c r="L145">
        <v>1</v>
      </c>
      <c r="M145" t="s">
        <v>20</v>
      </c>
      <c r="N145">
        <v>295</v>
      </c>
      <c r="O145">
        <v>0</v>
      </c>
      <c r="P145">
        <v>0</v>
      </c>
      <c r="Q145">
        <v>625</v>
      </c>
    </row>
    <row r="146" spans="1:17" x14ac:dyDescent="0.35">
      <c r="A146">
        <v>1781698244945</v>
      </c>
      <c r="B146">
        <v>2211</v>
      </c>
      <c r="C146" t="s">
        <v>164</v>
      </c>
      <c r="D146">
        <v>200</v>
      </c>
      <c r="E146" t="s">
        <v>18</v>
      </c>
      <c r="F146" t="s">
        <v>19</v>
      </c>
      <c r="G146" t="b">
        <v>1</v>
      </c>
      <c r="I146">
        <v>16412</v>
      </c>
      <c r="J146">
        <v>0</v>
      </c>
      <c r="K146">
        <v>1</v>
      </c>
      <c r="L146">
        <v>1</v>
      </c>
      <c r="M146" t="s">
        <v>20</v>
      </c>
      <c r="N146">
        <v>2209</v>
      </c>
      <c r="O146">
        <v>0</v>
      </c>
      <c r="P146">
        <v>0</v>
      </c>
      <c r="Q146">
        <v>625</v>
      </c>
    </row>
    <row r="147" spans="1:17" x14ac:dyDescent="0.35">
      <c r="A147">
        <v>1781698247158</v>
      </c>
      <c r="B147">
        <v>1906</v>
      </c>
      <c r="C147" t="s">
        <v>165</v>
      </c>
      <c r="D147">
        <v>200</v>
      </c>
      <c r="E147" t="s">
        <v>18</v>
      </c>
      <c r="F147" t="s">
        <v>19</v>
      </c>
      <c r="G147" t="b">
        <v>1</v>
      </c>
      <c r="I147">
        <v>11800</v>
      </c>
      <c r="J147">
        <v>0</v>
      </c>
      <c r="K147">
        <v>1</v>
      </c>
      <c r="L147">
        <v>1</v>
      </c>
      <c r="M147" t="s">
        <v>20</v>
      </c>
      <c r="N147">
        <v>1904</v>
      </c>
      <c r="O147">
        <v>0</v>
      </c>
      <c r="P147">
        <v>0</v>
      </c>
      <c r="Q147">
        <v>250</v>
      </c>
    </row>
    <row r="148" spans="1:17" x14ac:dyDescent="0.35">
      <c r="A148">
        <v>1781698249066</v>
      </c>
      <c r="B148">
        <v>2722</v>
      </c>
      <c r="C148" t="s">
        <v>166</v>
      </c>
      <c r="D148">
        <v>200</v>
      </c>
      <c r="E148" t="s">
        <v>18</v>
      </c>
      <c r="F148" t="s">
        <v>19</v>
      </c>
      <c r="G148" t="b">
        <v>1</v>
      </c>
      <c r="I148">
        <v>696</v>
      </c>
      <c r="J148">
        <v>0</v>
      </c>
      <c r="K148">
        <v>1</v>
      </c>
      <c r="L148">
        <v>1</v>
      </c>
      <c r="M148" t="s">
        <v>20</v>
      </c>
      <c r="N148">
        <v>2722</v>
      </c>
      <c r="O148">
        <v>0</v>
      </c>
      <c r="P148">
        <v>0</v>
      </c>
      <c r="Q148">
        <v>25</v>
      </c>
    </row>
    <row r="149" spans="1:17" x14ac:dyDescent="0.35">
      <c r="A149">
        <v>1781698251789</v>
      </c>
      <c r="B149">
        <v>729</v>
      </c>
      <c r="C149" t="s">
        <v>167</v>
      </c>
      <c r="D149">
        <v>200</v>
      </c>
      <c r="E149" t="s">
        <v>18</v>
      </c>
      <c r="F149" t="s">
        <v>19</v>
      </c>
      <c r="G149" t="b">
        <v>1</v>
      </c>
      <c r="I149">
        <v>4736</v>
      </c>
      <c r="J149">
        <v>0</v>
      </c>
      <c r="K149">
        <v>1</v>
      </c>
      <c r="L149">
        <v>1</v>
      </c>
      <c r="M149" t="s">
        <v>20</v>
      </c>
      <c r="N149">
        <v>728</v>
      </c>
      <c r="O149">
        <v>0</v>
      </c>
      <c r="P149">
        <v>0</v>
      </c>
      <c r="Q149">
        <v>200</v>
      </c>
    </row>
    <row r="150" spans="1:17" x14ac:dyDescent="0.35">
      <c r="A150">
        <v>1781698252521</v>
      </c>
      <c r="B150">
        <v>4220</v>
      </c>
      <c r="C150" t="s">
        <v>168</v>
      </c>
      <c r="D150">
        <v>200</v>
      </c>
      <c r="E150" t="s">
        <v>18</v>
      </c>
      <c r="F150" t="s">
        <v>19</v>
      </c>
      <c r="G150" t="b">
        <v>1</v>
      </c>
      <c r="I150">
        <v>5076</v>
      </c>
      <c r="J150">
        <v>0</v>
      </c>
      <c r="K150">
        <v>1</v>
      </c>
      <c r="L150">
        <v>1</v>
      </c>
      <c r="M150" t="s">
        <v>20</v>
      </c>
      <c r="N150">
        <v>4219</v>
      </c>
      <c r="O150">
        <v>0</v>
      </c>
      <c r="P150">
        <v>0</v>
      </c>
      <c r="Q150">
        <v>125</v>
      </c>
    </row>
    <row r="151" spans="1:17" x14ac:dyDescent="0.35">
      <c r="A151">
        <v>1781698256741</v>
      </c>
      <c r="B151">
        <v>4669</v>
      </c>
      <c r="C151" t="s">
        <v>169</v>
      </c>
      <c r="D151">
        <v>200</v>
      </c>
      <c r="E151" t="s">
        <v>18</v>
      </c>
      <c r="F151" t="s">
        <v>19</v>
      </c>
      <c r="G151" t="b">
        <v>1</v>
      </c>
      <c r="I151">
        <v>7295</v>
      </c>
      <c r="J151">
        <v>0</v>
      </c>
      <c r="K151">
        <v>1</v>
      </c>
      <c r="L151">
        <v>1</v>
      </c>
      <c r="M151" t="s">
        <v>20</v>
      </c>
      <c r="N151">
        <v>4668</v>
      </c>
      <c r="O151">
        <v>0</v>
      </c>
      <c r="P151">
        <v>0</v>
      </c>
      <c r="Q151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F25A-6B8C-4F96-BE87-0BE754677BB5}">
  <dimension ref="A1:J153"/>
  <sheetViews>
    <sheetView tabSelected="1" topLeftCell="C93" zoomScale="95" workbookViewId="0">
      <selection activeCell="G110" sqref="G110"/>
    </sheetView>
  </sheetViews>
  <sheetFormatPr defaultRowHeight="14.5" x14ac:dyDescent="0.35"/>
  <cols>
    <col min="1" max="1" width="9.08984375" customWidth="1"/>
    <col min="2" max="2" width="12" customWidth="1"/>
    <col min="3" max="3" width="12.453125" customWidth="1"/>
    <col min="4" max="4" width="12.08984375" customWidth="1"/>
    <col min="7" max="7" width="37.54296875" bestFit="1" customWidth="1"/>
    <col min="8" max="10" width="11.81640625" bestFit="1" customWidth="1"/>
  </cols>
  <sheetData>
    <row r="1" spans="1:10" x14ac:dyDescent="0.35">
      <c r="A1" s="2" t="s">
        <v>170</v>
      </c>
      <c r="B1" s="2" t="s">
        <v>323</v>
      </c>
      <c r="C1" s="2" t="s">
        <v>324</v>
      </c>
      <c r="D1" s="2" t="s">
        <v>325</v>
      </c>
    </row>
    <row r="2" spans="1:10" x14ac:dyDescent="0.35">
      <c r="A2" s="1" t="s">
        <v>171</v>
      </c>
      <c r="B2" s="1">
        <v>2.9369999999999998</v>
      </c>
      <c r="C2" s="1">
        <v>2.5230000000000001</v>
      </c>
      <c r="D2" s="1">
        <v>1.946</v>
      </c>
    </row>
    <row r="3" spans="1:10" x14ac:dyDescent="0.35">
      <c r="A3" s="1" t="s">
        <v>172</v>
      </c>
      <c r="B3" s="1">
        <v>3.839</v>
      </c>
      <c r="C3" s="1">
        <v>0.997</v>
      </c>
      <c r="D3" s="1">
        <v>0.80900000000000005</v>
      </c>
    </row>
    <row r="4" spans="1:10" x14ac:dyDescent="0.35">
      <c r="A4" s="1" t="s">
        <v>173</v>
      </c>
      <c r="B4" s="1">
        <v>1.6659999999999999</v>
      </c>
      <c r="C4" s="1">
        <v>0.39700000000000002</v>
      </c>
      <c r="D4" s="1">
        <v>0.33400000000000002</v>
      </c>
      <c r="G4" s="10" t="s">
        <v>337</v>
      </c>
    </row>
    <row r="5" spans="1:10" x14ac:dyDescent="0.35">
      <c r="A5" s="1" t="s">
        <v>174</v>
      </c>
      <c r="B5" s="1">
        <v>1.306</v>
      </c>
      <c r="C5" s="1">
        <v>0.33800000000000002</v>
      </c>
      <c r="D5" s="1">
        <v>0.26200000000000001</v>
      </c>
      <c r="G5" s="3" t="s">
        <v>326</v>
      </c>
      <c r="H5" s="3" t="s">
        <v>327</v>
      </c>
      <c r="I5" s="3" t="s">
        <v>328</v>
      </c>
      <c r="J5" s="3" t="s">
        <v>329</v>
      </c>
    </row>
    <row r="6" spans="1:10" x14ac:dyDescent="0.35">
      <c r="A6" s="1" t="s">
        <v>175</v>
      </c>
      <c r="B6" s="1">
        <v>1.956</v>
      </c>
      <c r="C6" s="1">
        <v>0.435</v>
      </c>
      <c r="D6" s="1">
        <v>0.34799999999999998</v>
      </c>
      <c r="G6" s="4" t="s">
        <v>330</v>
      </c>
      <c r="H6" s="6">
        <f>AVERAGE(B2:B151)</f>
        <v>45.166873333333335</v>
      </c>
      <c r="I6" s="6">
        <f t="shared" ref="I6:J6" si="0">AVERAGE(C2:C151)</f>
        <v>3.269453333333336</v>
      </c>
      <c r="J6" s="6">
        <f t="shared" si="0"/>
        <v>1.8684800000000004</v>
      </c>
    </row>
    <row r="7" spans="1:10" x14ac:dyDescent="0.35">
      <c r="A7" s="1" t="s">
        <v>176</v>
      </c>
      <c r="B7" s="1">
        <v>1.2509999999999999</v>
      </c>
      <c r="C7" s="1">
        <v>0.309</v>
      </c>
      <c r="D7" s="1">
        <v>0.23899999999999999</v>
      </c>
      <c r="G7" s="5" t="s">
        <v>331</v>
      </c>
      <c r="H7" s="7">
        <f>MEDIAN(B2:B151)</f>
        <v>2.4289999999999998</v>
      </c>
      <c r="I7" s="7">
        <f t="shared" ref="I7:J7" si="1">MEDIAN(C2:C151)</f>
        <v>2.7524999999999999</v>
      </c>
      <c r="J7" s="7">
        <f t="shared" si="1"/>
        <v>1.5194999999999999</v>
      </c>
    </row>
    <row r="8" spans="1:10" x14ac:dyDescent="0.35">
      <c r="A8" s="1" t="s">
        <v>177</v>
      </c>
      <c r="B8" s="1">
        <v>1.3380000000000001</v>
      </c>
      <c r="C8" s="1">
        <v>0.20899999999999999</v>
      </c>
      <c r="D8" s="1">
        <v>0.21299999999999999</v>
      </c>
      <c r="G8" s="4" t="s">
        <v>332</v>
      </c>
      <c r="H8" s="6">
        <f>MIN(B2:B151)</f>
        <v>0.13600000000000001</v>
      </c>
      <c r="I8" s="6">
        <f t="shared" ref="I8:J8" si="2">MIN(C2:C151)</f>
        <v>0.107</v>
      </c>
      <c r="J8" s="6">
        <f t="shared" si="2"/>
        <v>0.11899999999999999</v>
      </c>
    </row>
    <row r="9" spans="1:10" x14ac:dyDescent="0.35">
      <c r="A9" s="1" t="s">
        <v>178</v>
      </c>
      <c r="B9" s="1">
        <v>2.4289999999999998</v>
      </c>
      <c r="C9" s="1">
        <v>0.57699999999999996</v>
      </c>
      <c r="D9" s="1">
        <v>0.57799999999999996</v>
      </c>
      <c r="G9" s="5" t="s">
        <v>333</v>
      </c>
      <c r="H9" s="7">
        <f>MAX(B2:B151)</f>
        <v>1658.059</v>
      </c>
      <c r="I9" s="7">
        <f t="shared" ref="I9:J9" si="3">MAX(C2:C151)</f>
        <v>16.635000000000002</v>
      </c>
      <c r="J9" s="7">
        <f t="shared" si="3"/>
        <v>8.6259999999999994</v>
      </c>
    </row>
    <row r="10" spans="1:10" x14ac:dyDescent="0.35">
      <c r="A10" s="1" t="s">
        <v>179</v>
      </c>
      <c r="B10" s="1">
        <v>1.6220000000000001</v>
      </c>
      <c r="C10" s="1">
        <v>0.25800000000000001</v>
      </c>
      <c r="D10" s="1">
        <v>0.255</v>
      </c>
      <c r="G10" s="4" t="s">
        <v>334</v>
      </c>
      <c r="H10" s="6">
        <f>STDEV(B2:B151)</f>
        <v>179.36246434806446</v>
      </c>
      <c r="I10" s="6">
        <f t="shared" ref="I10:J10" si="4">STDEV(C2:C151)</f>
        <v>3.0301545414033693</v>
      </c>
      <c r="J10" s="6">
        <f t="shared" si="4"/>
        <v>1.6000366175340062</v>
      </c>
    </row>
    <row r="11" spans="1:10" x14ac:dyDescent="0.35">
      <c r="A11" s="1" t="s">
        <v>180</v>
      </c>
      <c r="B11" s="1">
        <v>1.542</v>
      </c>
      <c r="C11" s="1">
        <v>0.255</v>
      </c>
      <c r="D11" s="1">
        <v>0.25</v>
      </c>
      <c r="G11" s="5" t="s">
        <v>335</v>
      </c>
      <c r="H11" s="8">
        <f>COUNTIF(B2:B151,"&lt;2")/150*100/100</f>
        <v>0.44666666666666666</v>
      </c>
      <c r="I11" s="8">
        <f t="shared" ref="I11:J11" si="5">COUNTIF(C2:C151,"&lt;2")/150*100/100</f>
        <v>0.40666666666666662</v>
      </c>
      <c r="J11" s="8">
        <f t="shared" si="5"/>
        <v>0.67333333333333334</v>
      </c>
    </row>
    <row r="12" spans="1:10" ht="29" x14ac:dyDescent="0.35">
      <c r="A12" s="1" t="s">
        <v>181</v>
      </c>
      <c r="B12" s="1">
        <v>2.8820000000000001</v>
      </c>
      <c r="C12" s="1">
        <v>8.3309999999999995</v>
      </c>
      <c r="D12" s="1">
        <v>4.2729999999999997</v>
      </c>
      <c r="G12" s="4" t="s">
        <v>336</v>
      </c>
      <c r="H12" s="9">
        <f>COUNTIF(B2:B151,"&gt;10")/150*100/100</f>
        <v>0.3</v>
      </c>
      <c r="I12" s="9">
        <f t="shared" ref="I12:J12" si="6">COUNTIF(C2:C151,"&gt;10")/150*100/100</f>
        <v>5.3333333333333337E-2</v>
      </c>
      <c r="J12" s="9">
        <f t="shared" si="6"/>
        <v>0</v>
      </c>
    </row>
    <row r="13" spans="1:10" x14ac:dyDescent="0.35">
      <c r="A13" s="1" t="s">
        <v>182</v>
      </c>
      <c r="B13" s="1">
        <v>1.7729999999999999</v>
      </c>
      <c r="C13" s="1">
        <v>3.754</v>
      </c>
      <c r="D13" s="1">
        <v>2.1429999999999998</v>
      </c>
    </row>
    <row r="14" spans="1:10" x14ac:dyDescent="0.35">
      <c r="A14" s="1" t="s">
        <v>183</v>
      </c>
      <c r="B14" s="1">
        <v>1.7809999999999999</v>
      </c>
      <c r="C14" s="1">
        <v>3.484</v>
      </c>
      <c r="D14" s="1">
        <v>1.837</v>
      </c>
    </row>
    <row r="15" spans="1:10" x14ac:dyDescent="0.35">
      <c r="A15" s="1" t="s">
        <v>184</v>
      </c>
      <c r="B15" s="1">
        <v>2.6539999999999999</v>
      </c>
      <c r="C15" s="1">
        <v>4.6079999999999997</v>
      </c>
      <c r="D15" s="1">
        <v>2.3460000000000001</v>
      </c>
      <c r="G15" s="10" t="s">
        <v>338</v>
      </c>
    </row>
    <row r="16" spans="1:10" x14ac:dyDescent="0.35">
      <c r="A16" s="1" t="s">
        <v>185</v>
      </c>
      <c r="B16" s="1">
        <v>1.6950000000000001</v>
      </c>
      <c r="C16" s="1">
        <v>3.573</v>
      </c>
      <c r="D16" s="1">
        <v>1.7789999999999999</v>
      </c>
      <c r="G16" s="13" t="s">
        <v>339</v>
      </c>
      <c r="H16" s="13" t="s">
        <v>327</v>
      </c>
      <c r="I16" s="13" t="s">
        <v>328</v>
      </c>
      <c r="J16" s="13" t="s">
        <v>329</v>
      </c>
    </row>
    <row r="17" spans="1:10" x14ac:dyDescent="0.35">
      <c r="A17" s="1" t="s">
        <v>186</v>
      </c>
      <c r="B17" s="1">
        <v>1.714</v>
      </c>
      <c r="C17" s="1">
        <v>3.7749999999999999</v>
      </c>
      <c r="D17" s="1">
        <v>1.9359999999999999</v>
      </c>
      <c r="G17" s="12" t="s">
        <v>340</v>
      </c>
      <c r="H17" s="11">
        <f>AVERAGE(B2:B51)</f>
        <v>34.930919999999993</v>
      </c>
      <c r="I17" s="11">
        <f t="shared" ref="I17:J17" si="7">AVERAGE(C2:C51)</f>
        <v>3.43432</v>
      </c>
      <c r="J17" s="11">
        <f t="shared" si="7"/>
        <v>1.7571800000000002</v>
      </c>
    </row>
    <row r="18" spans="1:10" x14ac:dyDescent="0.35">
      <c r="A18" s="1" t="s">
        <v>187</v>
      </c>
      <c r="B18" s="1">
        <v>3.391</v>
      </c>
      <c r="C18" s="1">
        <v>5.4480000000000004</v>
      </c>
      <c r="D18" s="1">
        <v>2.7469999999999999</v>
      </c>
      <c r="G18" s="14" t="s">
        <v>341</v>
      </c>
      <c r="H18" s="15">
        <f>AVERAGE(B52:B101)</f>
        <v>1.6745599999999989</v>
      </c>
      <c r="I18" s="15">
        <f t="shared" ref="I18:J18" si="8">AVERAGE(C52:C101)</f>
        <v>2.4335400000000003</v>
      </c>
      <c r="J18" s="15">
        <f t="shared" si="8"/>
        <v>1.4867199999999996</v>
      </c>
    </row>
    <row r="19" spans="1:10" x14ac:dyDescent="0.35">
      <c r="A19" s="1" t="s">
        <v>188</v>
      </c>
      <c r="B19" s="1">
        <v>1.5640000000000001</v>
      </c>
      <c r="C19" s="1">
        <v>2.3839999999999999</v>
      </c>
      <c r="D19" s="1">
        <v>1.319</v>
      </c>
      <c r="G19" s="12" t="s">
        <v>342</v>
      </c>
      <c r="H19" s="11">
        <f>AVERAGE(B102:B151)</f>
        <v>98.895140000000012</v>
      </c>
      <c r="I19" s="11">
        <f t="shared" ref="I19:J19" si="9">AVERAGE(C102:C151)</f>
        <v>3.9404999999999988</v>
      </c>
      <c r="J19" s="11">
        <f t="shared" si="9"/>
        <v>2.3615399999999989</v>
      </c>
    </row>
    <row r="20" spans="1:10" x14ac:dyDescent="0.35">
      <c r="A20" s="1" t="s">
        <v>189</v>
      </c>
      <c r="B20" s="1">
        <v>2.915</v>
      </c>
      <c r="C20" s="1">
        <v>5.0519999999999996</v>
      </c>
      <c r="D20" s="1">
        <v>2.6040000000000001</v>
      </c>
    </row>
    <row r="21" spans="1:10" x14ac:dyDescent="0.35">
      <c r="A21" s="1" t="s">
        <v>190</v>
      </c>
      <c r="B21" s="1">
        <v>1.948</v>
      </c>
      <c r="C21" s="1">
        <v>4.1630000000000003</v>
      </c>
      <c r="D21" s="1">
        <v>2.1549999999999998</v>
      </c>
    </row>
    <row r="22" spans="1:10" x14ac:dyDescent="0.35">
      <c r="A22" s="1" t="s">
        <v>191</v>
      </c>
      <c r="B22" s="1">
        <v>10.776</v>
      </c>
      <c r="C22" s="1">
        <v>12.231999999999999</v>
      </c>
      <c r="D22" s="1">
        <v>5.9569999999999999</v>
      </c>
      <c r="G22" s="10" t="s">
        <v>343</v>
      </c>
    </row>
    <row r="23" spans="1:10" x14ac:dyDescent="0.35">
      <c r="A23" s="1" t="s">
        <v>192</v>
      </c>
      <c r="B23" s="1">
        <v>1.51</v>
      </c>
      <c r="C23" s="1">
        <v>3.1859999999999999</v>
      </c>
      <c r="D23" s="1">
        <v>1.6890000000000001</v>
      </c>
      <c r="G23" s="13" t="s">
        <v>339</v>
      </c>
      <c r="H23" s="13" t="s">
        <v>327</v>
      </c>
      <c r="I23" s="13" t="s">
        <v>328</v>
      </c>
      <c r="J23" s="13" t="s">
        <v>329</v>
      </c>
    </row>
    <row r="24" spans="1:10" x14ac:dyDescent="0.35">
      <c r="A24" s="1" t="s">
        <v>193</v>
      </c>
      <c r="B24" s="1">
        <v>7.6210000000000004</v>
      </c>
      <c r="C24" s="1">
        <v>8.4570000000000007</v>
      </c>
      <c r="D24" s="1">
        <v>4.3479999999999999</v>
      </c>
      <c r="G24" s="14" t="s">
        <v>344</v>
      </c>
      <c r="H24" s="15">
        <f>AVERAGE(B2:B11,B52:B61,B102:B111)</f>
        <v>2.3338999999999999</v>
      </c>
      <c r="I24" s="15">
        <f t="shared" ref="I24:J24" si="10">AVERAGE(C2:C11,C52:C61,C102:C111)</f>
        <v>1.2515000000000003</v>
      </c>
      <c r="J24" s="15">
        <f t="shared" si="10"/>
        <v>0.78966666666666674</v>
      </c>
    </row>
    <row r="25" spans="1:10" x14ac:dyDescent="0.35">
      <c r="A25" s="1" t="s">
        <v>194</v>
      </c>
      <c r="B25" s="1">
        <v>1.5209999999999999</v>
      </c>
      <c r="C25" s="1">
        <v>2.7349999999999999</v>
      </c>
      <c r="D25" s="1">
        <v>1.7929999999999999</v>
      </c>
      <c r="G25" s="12" t="s">
        <v>345</v>
      </c>
      <c r="H25" s="11">
        <f>AVERAGE(B12:B21,B62:B71,B112:B121)</f>
        <v>63.453699999999998</v>
      </c>
      <c r="I25" s="11">
        <f t="shared" ref="I25:J25" si="11">AVERAGE(C12:C21,C62:C71,C112:C121)</f>
        <v>3.4894000000000003</v>
      </c>
      <c r="J25" s="11">
        <f t="shared" si="11"/>
        <v>2.1037000000000003</v>
      </c>
    </row>
    <row r="26" spans="1:10" x14ac:dyDescent="0.35">
      <c r="A26" s="1" t="s">
        <v>195</v>
      </c>
      <c r="B26" s="1">
        <v>1.2609999999999999</v>
      </c>
      <c r="C26" s="1">
        <v>2.9980000000000002</v>
      </c>
      <c r="D26" s="1">
        <v>1.696</v>
      </c>
      <c r="G26" s="14" t="s">
        <v>346</v>
      </c>
      <c r="H26" s="15">
        <f>AVERAGE(B22:B31,B72:B81,B122:B131)</f>
        <v>26.8461</v>
      </c>
      <c r="I26" s="15">
        <f t="shared" ref="I26:J26" si="12">AVERAGE(C22:C31,C72:C81,C122:C131)</f>
        <v>5.5837333333333321</v>
      </c>
      <c r="J26" s="15">
        <f t="shared" si="12"/>
        <v>3.0894666666666666</v>
      </c>
    </row>
    <row r="27" spans="1:10" x14ac:dyDescent="0.35">
      <c r="A27" s="1" t="s">
        <v>196</v>
      </c>
      <c r="B27" s="1">
        <v>7.9240000000000004</v>
      </c>
      <c r="C27" s="1">
        <v>10.47</v>
      </c>
      <c r="D27" s="1">
        <v>5.0250000000000004</v>
      </c>
      <c r="G27" s="12" t="s">
        <v>347</v>
      </c>
      <c r="H27" s="11">
        <f>AVERAGE(B32:B41,B82:B91,B132:B141)</f>
        <v>95.671099999999996</v>
      </c>
      <c r="I27" s="11">
        <f t="shared" ref="I27:J27" si="13">AVERAGE(C32:C41,C82:C91,C132:C141)</f>
        <v>3.290433333333334</v>
      </c>
      <c r="J27" s="11">
        <f t="shared" si="13"/>
        <v>1.7906</v>
      </c>
    </row>
    <row r="28" spans="1:10" x14ac:dyDescent="0.35">
      <c r="A28" s="1" t="s">
        <v>197</v>
      </c>
      <c r="B28" s="1">
        <v>2.0630000000000002</v>
      </c>
      <c r="C28" s="1">
        <v>3.6579999999999999</v>
      </c>
      <c r="D28" s="1">
        <v>1.9</v>
      </c>
      <c r="G28" s="14" t="s">
        <v>348</v>
      </c>
      <c r="H28" s="15">
        <f>AVERAGE(B42:B51,B92:B101,B142:B151)</f>
        <v>37.529566666666668</v>
      </c>
      <c r="I28" s="15">
        <f t="shared" ref="I28:J28" si="14">AVERAGE(C42:C51,C92:C101,C142:C151)</f>
        <v>2.7321999999999993</v>
      </c>
      <c r="J28" s="15">
        <f t="shared" si="14"/>
        <v>1.5689666666666666</v>
      </c>
    </row>
    <row r="29" spans="1:10" x14ac:dyDescent="0.35">
      <c r="A29" s="1" t="s">
        <v>198</v>
      </c>
      <c r="B29" s="1">
        <v>14.975</v>
      </c>
      <c r="C29" s="1">
        <v>16.635000000000002</v>
      </c>
      <c r="D29" s="1">
        <v>8.1310000000000002</v>
      </c>
    </row>
    <row r="30" spans="1:10" x14ac:dyDescent="0.35">
      <c r="A30" s="1" t="s">
        <v>199</v>
      </c>
      <c r="B30" s="1">
        <v>1.887</v>
      </c>
      <c r="C30" s="1">
        <v>3.702</v>
      </c>
      <c r="D30" s="1">
        <v>1.923</v>
      </c>
    </row>
    <row r="31" spans="1:10" x14ac:dyDescent="0.35">
      <c r="A31" s="1" t="s">
        <v>200</v>
      </c>
      <c r="B31" s="1">
        <v>2.48</v>
      </c>
      <c r="C31" s="1">
        <v>4.1029999999999998</v>
      </c>
      <c r="D31" s="1">
        <v>2.1480000000000001</v>
      </c>
      <c r="G31" s="10" t="s">
        <v>349</v>
      </c>
    </row>
    <row r="32" spans="1:10" x14ac:dyDescent="0.35">
      <c r="A32" s="1" t="s">
        <v>201</v>
      </c>
      <c r="B32" s="1">
        <v>97.745999999999995</v>
      </c>
      <c r="C32" s="1">
        <v>3.5870000000000002</v>
      </c>
      <c r="D32" s="1">
        <v>1.514</v>
      </c>
      <c r="G32" s="13" t="s">
        <v>339</v>
      </c>
      <c r="H32" s="13" t="s">
        <v>327</v>
      </c>
      <c r="I32" s="13" t="s">
        <v>328</v>
      </c>
      <c r="J32" s="13" t="s">
        <v>329</v>
      </c>
    </row>
    <row r="33" spans="1:10" x14ac:dyDescent="0.35">
      <c r="A33" s="1" t="s">
        <v>202</v>
      </c>
      <c r="B33" s="1">
        <v>80.358000000000004</v>
      </c>
      <c r="C33" s="1">
        <v>2.806</v>
      </c>
      <c r="D33" s="1">
        <v>1.2989999999999999</v>
      </c>
      <c r="G33" s="12" t="s">
        <v>340</v>
      </c>
      <c r="H33" s="11">
        <f>MEDIAN(B18:B67)</f>
        <v>3.899</v>
      </c>
      <c r="I33" s="11">
        <f t="shared" ref="I33:J33" si="15">MEDIAN(C18:C67)</f>
        <v>2.6675</v>
      </c>
      <c r="J33" s="11">
        <f t="shared" si="15"/>
        <v>1.331</v>
      </c>
    </row>
    <row r="34" spans="1:10" x14ac:dyDescent="0.35">
      <c r="A34" s="1" t="s">
        <v>203</v>
      </c>
      <c r="B34" s="1">
        <v>87.951999999999998</v>
      </c>
      <c r="C34" s="1">
        <v>2.6139999999999999</v>
      </c>
      <c r="D34" s="1">
        <v>1.252</v>
      </c>
      <c r="G34" s="14" t="s">
        <v>341</v>
      </c>
      <c r="H34" s="15">
        <f>MEDIAN(B68:B117)</f>
        <v>1.81</v>
      </c>
      <c r="I34" s="15">
        <f t="shared" ref="I34:J34" si="16">MEDIAN(C68:C117)</f>
        <v>1.8959999999999999</v>
      </c>
      <c r="J34" s="15">
        <f t="shared" si="16"/>
        <v>1.4944999999999999</v>
      </c>
    </row>
    <row r="35" spans="1:10" x14ac:dyDescent="0.35">
      <c r="A35" s="1" t="s">
        <v>204</v>
      </c>
      <c r="B35" s="1">
        <v>88.225999999999999</v>
      </c>
      <c r="C35" s="1">
        <v>2.637</v>
      </c>
      <c r="D35" s="1">
        <v>1.252</v>
      </c>
      <c r="G35" s="12" t="s">
        <v>342</v>
      </c>
      <c r="H35" s="11">
        <f>MEDIAN(B118:B167)</f>
        <v>16.244</v>
      </c>
      <c r="I35" s="11">
        <f t="shared" ref="I35:J35" si="17">MEDIAN(C118:C167)</f>
        <v>3.5804999999999998</v>
      </c>
      <c r="J35" s="11">
        <f t="shared" si="17"/>
        <v>2.2124999999999999</v>
      </c>
    </row>
    <row r="36" spans="1:10" x14ac:dyDescent="0.35">
      <c r="A36" s="1" t="s">
        <v>205</v>
      </c>
      <c r="B36" s="1">
        <v>80.843000000000004</v>
      </c>
      <c r="C36" s="1">
        <v>2.77</v>
      </c>
      <c r="D36" s="1">
        <v>1.343</v>
      </c>
    </row>
    <row r="37" spans="1:10" x14ac:dyDescent="0.35">
      <c r="A37" s="1" t="s">
        <v>206</v>
      </c>
      <c r="B37" s="1">
        <v>80.801000000000002</v>
      </c>
      <c r="C37" s="1">
        <v>2.5219999999999998</v>
      </c>
      <c r="D37" s="1">
        <v>1.21</v>
      </c>
    </row>
    <row r="38" spans="1:10" x14ac:dyDescent="0.35">
      <c r="A38" s="1" t="s">
        <v>207</v>
      </c>
      <c r="B38" s="1">
        <v>79.852000000000004</v>
      </c>
      <c r="C38" s="1">
        <v>2.4500000000000002</v>
      </c>
      <c r="D38" s="1">
        <v>1.268</v>
      </c>
    </row>
    <row r="39" spans="1:10" x14ac:dyDescent="0.35">
      <c r="A39" s="1" t="s">
        <v>208</v>
      </c>
      <c r="B39" s="1">
        <v>155.364</v>
      </c>
      <c r="C39" s="1">
        <v>3.7330000000000001</v>
      </c>
      <c r="D39" s="1">
        <v>1.909</v>
      </c>
    </row>
    <row r="40" spans="1:10" x14ac:dyDescent="0.35">
      <c r="A40" s="1" t="s">
        <v>209</v>
      </c>
      <c r="B40" s="1">
        <v>79.7</v>
      </c>
      <c r="C40" s="1">
        <v>2.4430000000000001</v>
      </c>
      <c r="D40" s="1">
        <v>1.1659999999999999</v>
      </c>
    </row>
    <row r="41" spans="1:10" x14ac:dyDescent="0.35">
      <c r="A41" s="1" t="s">
        <v>210</v>
      </c>
      <c r="B41" s="1">
        <v>80.501000000000005</v>
      </c>
      <c r="C41" s="1">
        <v>2.794</v>
      </c>
      <c r="D41" s="1">
        <v>1.3460000000000001</v>
      </c>
    </row>
    <row r="42" spans="1:10" x14ac:dyDescent="0.35">
      <c r="A42" s="1" t="s">
        <v>211</v>
      </c>
      <c r="B42" s="1">
        <v>88.489000000000004</v>
      </c>
      <c r="C42" s="1">
        <v>2.698</v>
      </c>
      <c r="D42" s="1">
        <v>1.246</v>
      </c>
    </row>
    <row r="43" spans="1:10" x14ac:dyDescent="0.35">
      <c r="A43" s="1" t="s">
        <v>212</v>
      </c>
      <c r="B43" s="1">
        <v>107.274</v>
      </c>
      <c r="C43" s="1">
        <v>3.57</v>
      </c>
      <c r="D43" s="1">
        <v>1.569</v>
      </c>
    </row>
    <row r="44" spans="1:10" x14ac:dyDescent="0.35">
      <c r="A44" s="1" t="s">
        <v>213</v>
      </c>
      <c r="B44" s="1">
        <v>80.242999999999995</v>
      </c>
      <c r="C44" s="1">
        <v>2.9049999999999998</v>
      </c>
      <c r="D44" s="1">
        <v>1.2989999999999999</v>
      </c>
    </row>
    <row r="45" spans="1:10" x14ac:dyDescent="0.35">
      <c r="A45" s="1" t="s">
        <v>214</v>
      </c>
      <c r="B45" s="1">
        <v>110.345</v>
      </c>
      <c r="C45" s="1">
        <v>3.1280000000000001</v>
      </c>
      <c r="D45" s="1">
        <v>1.4590000000000001</v>
      </c>
    </row>
    <row r="46" spans="1:10" x14ac:dyDescent="0.35">
      <c r="A46" s="1" t="s">
        <v>215</v>
      </c>
      <c r="B46" s="1">
        <v>23.300999999999998</v>
      </c>
      <c r="C46" s="1">
        <v>1.292</v>
      </c>
      <c r="D46" s="1">
        <v>0.622</v>
      </c>
    </row>
    <row r="47" spans="1:10" x14ac:dyDescent="0.35">
      <c r="A47" s="1" t="s">
        <v>216</v>
      </c>
      <c r="B47" s="1">
        <v>13.08</v>
      </c>
      <c r="C47" s="1">
        <v>1.0389999999999999</v>
      </c>
      <c r="D47" s="1">
        <v>0.50800000000000001</v>
      </c>
    </row>
    <row r="48" spans="1:10" x14ac:dyDescent="0.35">
      <c r="A48" s="1" t="s">
        <v>217</v>
      </c>
      <c r="B48" s="1">
        <v>152.55199999999999</v>
      </c>
      <c r="C48" s="1">
        <v>3.5150000000000001</v>
      </c>
      <c r="D48" s="1">
        <v>1.706</v>
      </c>
    </row>
    <row r="49" spans="1:4" x14ac:dyDescent="0.35">
      <c r="A49" s="1" t="s">
        <v>218</v>
      </c>
      <c r="B49" s="1">
        <v>41.780999999999999</v>
      </c>
      <c r="C49" s="1">
        <v>1.8149999999999999</v>
      </c>
      <c r="D49" s="1">
        <v>0.85099999999999998</v>
      </c>
    </row>
    <row r="50" spans="1:4" x14ac:dyDescent="0.35">
      <c r="A50" s="1" t="s">
        <v>219</v>
      </c>
      <c r="B50" s="1">
        <v>109.687</v>
      </c>
      <c r="C50" s="1">
        <v>3.25</v>
      </c>
      <c r="D50" s="1">
        <v>1.5249999999999999</v>
      </c>
    </row>
    <row r="51" spans="1:4" x14ac:dyDescent="0.35">
      <c r="A51" s="1" t="s">
        <v>220</v>
      </c>
      <c r="B51" s="1">
        <v>14.23</v>
      </c>
      <c r="C51" s="1">
        <v>1.1020000000000001</v>
      </c>
      <c r="D51" s="1">
        <v>0.53200000000000003</v>
      </c>
    </row>
    <row r="52" spans="1:4" x14ac:dyDescent="0.35">
      <c r="A52" s="1" t="s">
        <v>221</v>
      </c>
      <c r="B52" s="1">
        <v>1.3260000000000001</v>
      </c>
      <c r="C52" s="1">
        <v>1.119</v>
      </c>
      <c r="D52" s="1">
        <v>0.63800000000000001</v>
      </c>
    </row>
    <row r="53" spans="1:4" x14ac:dyDescent="0.35">
      <c r="A53" s="1" t="s">
        <v>222</v>
      </c>
      <c r="B53" s="1">
        <v>1.4610000000000001</v>
      </c>
      <c r="C53" s="1">
        <v>1.625</v>
      </c>
      <c r="D53" s="1">
        <v>0.92500000000000004</v>
      </c>
    </row>
    <row r="54" spans="1:4" x14ac:dyDescent="0.35">
      <c r="A54" s="1" t="s">
        <v>223</v>
      </c>
      <c r="B54" s="1">
        <v>1.2889999999999999</v>
      </c>
      <c r="C54" s="1">
        <v>1.0309999999999999</v>
      </c>
      <c r="D54" s="1">
        <v>0.60499999999999998</v>
      </c>
    </row>
    <row r="55" spans="1:4" x14ac:dyDescent="0.35">
      <c r="A55" s="1" t="s">
        <v>224</v>
      </c>
      <c r="B55" s="1">
        <v>1.452</v>
      </c>
      <c r="C55" s="1">
        <v>1.0529999999999999</v>
      </c>
      <c r="D55" s="1">
        <v>0.66100000000000003</v>
      </c>
    </row>
    <row r="56" spans="1:4" x14ac:dyDescent="0.35">
      <c r="A56" s="1" t="s">
        <v>225</v>
      </c>
      <c r="B56" s="1">
        <v>1.4690000000000001</v>
      </c>
      <c r="C56" s="1">
        <v>1.4319999999999999</v>
      </c>
      <c r="D56" s="1">
        <v>0.86599999999999999</v>
      </c>
    </row>
    <row r="57" spans="1:4" x14ac:dyDescent="0.35">
      <c r="A57" s="1" t="s">
        <v>226</v>
      </c>
      <c r="B57" s="1">
        <v>1.8540000000000001</v>
      </c>
      <c r="C57" s="1">
        <v>1.887</v>
      </c>
      <c r="D57" s="1">
        <v>1.111</v>
      </c>
    </row>
    <row r="58" spans="1:4" x14ac:dyDescent="0.35">
      <c r="A58" s="1" t="s">
        <v>227</v>
      </c>
      <c r="B58" s="1">
        <v>1.577</v>
      </c>
      <c r="C58" s="1">
        <v>1.6519999999999999</v>
      </c>
      <c r="D58" s="1">
        <v>0.79</v>
      </c>
    </row>
    <row r="59" spans="1:4" x14ac:dyDescent="0.35">
      <c r="A59" s="1" t="s">
        <v>228</v>
      </c>
      <c r="B59" s="1">
        <v>4.407</v>
      </c>
      <c r="C59" s="1">
        <v>5.44</v>
      </c>
      <c r="D59" s="1">
        <v>2.7759999999999998</v>
      </c>
    </row>
    <row r="60" spans="1:4" x14ac:dyDescent="0.35">
      <c r="A60" s="1" t="s">
        <v>229</v>
      </c>
      <c r="B60" s="1">
        <v>1.2709999999999999</v>
      </c>
      <c r="C60" s="1">
        <v>1.1930000000000001</v>
      </c>
      <c r="D60" s="1">
        <v>0.67900000000000005</v>
      </c>
    </row>
    <row r="61" spans="1:4" x14ac:dyDescent="0.35">
      <c r="A61" s="1" t="s">
        <v>230</v>
      </c>
      <c r="B61" s="1">
        <v>1.3919999999999999</v>
      </c>
      <c r="C61" s="1">
        <v>1.0980000000000001</v>
      </c>
      <c r="D61" s="1">
        <v>0.63900000000000001</v>
      </c>
    </row>
    <row r="62" spans="1:4" x14ac:dyDescent="0.35">
      <c r="A62" s="1" t="s">
        <v>231</v>
      </c>
      <c r="B62" s="1">
        <v>0.92200000000000004</v>
      </c>
      <c r="C62" s="1">
        <v>1.96</v>
      </c>
      <c r="D62" s="1">
        <v>1.984</v>
      </c>
    </row>
    <row r="63" spans="1:4" x14ac:dyDescent="0.35">
      <c r="A63" s="1" t="s">
        <v>232</v>
      </c>
      <c r="B63" s="1">
        <v>1.0740000000000001</v>
      </c>
      <c r="C63" s="1">
        <v>1.093</v>
      </c>
      <c r="D63" s="1">
        <v>1.288</v>
      </c>
    </row>
    <row r="64" spans="1:4" x14ac:dyDescent="0.35">
      <c r="A64" s="1" t="s">
        <v>233</v>
      </c>
      <c r="B64" s="1">
        <v>1.32</v>
      </c>
      <c r="C64" s="1">
        <v>1.1220000000000001</v>
      </c>
      <c r="D64" s="1">
        <v>1.508</v>
      </c>
    </row>
    <row r="65" spans="1:4" x14ac:dyDescent="0.35">
      <c r="A65" s="1" t="s">
        <v>234</v>
      </c>
      <c r="B65" s="1">
        <v>0.20799999999999999</v>
      </c>
      <c r="C65" s="1">
        <v>0.46899999999999997</v>
      </c>
      <c r="D65" s="1">
        <v>0.5</v>
      </c>
    </row>
    <row r="66" spans="1:4" x14ac:dyDescent="0.35">
      <c r="A66" s="1" t="s">
        <v>235</v>
      </c>
      <c r="B66" s="1">
        <v>0.57699999999999996</v>
      </c>
      <c r="C66" s="1">
        <v>0.68600000000000005</v>
      </c>
      <c r="D66" s="1">
        <v>0.94299999999999995</v>
      </c>
    </row>
    <row r="67" spans="1:4" x14ac:dyDescent="0.35">
      <c r="A67" s="1" t="s">
        <v>236</v>
      </c>
      <c r="B67" s="1">
        <v>1.3959999999999999</v>
      </c>
      <c r="C67" s="1">
        <v>1.4670000000000001</v>
      </c>
      <c r="D67" s="1">
        <v>1.617</v>
      </c>
    </row>
    <row r="68" spans="1:4" x14ac:dyDescent="0.35">
      <c r="A68" s="1" t="s">
        <v>237</v>
      </c>
      <c r="B68" s="1">
        <v>0.40699999999999997</v>
      </c>
      <c r="C68" s="1">
        <v>0.29899999999999999</v>
      </c>
      <c r="D68" s="1">
        <v>0.34200000000000003</v>
      </c>
    </row>
    <row r="69" spans="1:4" x14ac:dyDescent="0.35">
      <c r="A69" s="1" t="s">
        <v>238</v>
      </c>
      <c r="B69" s="1">
        <v>0.26100000000000001</v>
      </c>
      <c r="C69" s="1">
        <v>0.214</v>
      </c>
      <c r="D69" s="1">
        <v>0.18</v>
      </c>
    </row>
    <row r="70" spans="1:4" x14ac:dyDescent="0.35">
      <c r="A70" s="1" t="s">
        <v>239</v>
      </c>
      <c r="B70" s="1">
        <v>0.96399999999999997</v>
      </c>
      <c r="C70" s="1">
        <v>1.02</v>
      </c>
      <c r="D70" s="1">
        <v>1.292</v>
      </c>
    </row>
    <row r="71" spans="1:4" x14ac:dyDescent="0.35">
      <c r="A71" s="1" t="s">
        <v>240</v>
      </c>
      <c r="B71" s="1">
        <v>1.5740000000000001</v>
      </c>
      <c r="C71" s="1">
        <v>1.526</v>
      </c>
      <c r="D71" s="1">
        <v>2.0790000000000002</v>
      </c>
    </row>
    <row r="72" spans="1:4" x14ac:dyDescent="0.35">
      <c r="A72" s="1" t="s">
        <v>241</v>
      </c>
      <c r="B72" s="1">
        <v>2.754</v>
      </c>
      <c r="C72" s="1">
        <v>4.4009999999999998</v>
      </c>
      <c r="D72" s="1">
        <v>2.2410000000000001</v>
      </c>
    </row>
    <row r="73" spans="1:4" x14ac:dyDescent="0.35">
      <c r="A73" s="1" t="s">
        <v>242</v>
      </c>
      <c r="B73" s="1">
        <v>2.8450000000000002</v>
      </c>
      <c r="C73" s="1">
        <v>5.4829999999999997</v>
      </c>
      <c r="D73" s="1">
        <v>2.948</v>
      </c>
    </row>
    <row r="74" spans="1:4" x14ac:dyDescent="0.35">
      <c r="A74" s="1" t="s">
        <v>243</v>
      </c>
      <c r="B74" s="1">
        <v>1.6220000000000001</v>
      </c>
      <c r="C74" s="1">
        <v>3.0209999999999999</v>
      </c>
      <c r="D74" s="1">
        <v>1.3340000000000001</v>
      </c>
    </row>
    <row r="75" spans="1:4" x14ac:dyDescent="0.35">
      <c r="A75" s="1" t="s">
        <v>244</v>
      </c>
      <c r="B75" s="1">
        <v>7.1310000000000002</v>
      </c>
      <c r="C75" s="1">
        <v>11.108000000000001</v>
      </c>
      <c r="D75" s="1">
        <v>5.51</v>
      </c>
    </row>
    <row r="76" spans="1:4" x14ac:dyDescent="0.35">
      <c r="A76" s="1" t="s">
        <v>245</v>
      </c>
      <c r="B76" s="1">
        <v>2.2509999999999999</v>
      </c>
      <c r="C76" s="1">
        <v>4.8849999999999998</v>
      </c>
      <c r="D76" s="1">
        <v>2.6389999999999998</v>
      </c>
    </row>
    <row r="77" spans="1:4" x14ac:dyDescent="0.35">
      <c r="A77" s="1" t="s">
        <v>246</v>
      </c>
      <c r="B77" s="1">
        <v>3.0150000000000001</v>
      </c>
      <c r="C77" s="1">
        <v>3.1930000000000001</v>
      </c>
      <c r="D77" s="1">
        <v>1.78</v>
      </c>
    </row>
    <row r="78" spans="1:4" x14ac:dyDescent="0.35">
      <c r="A78" s="1" t="s">
        <v>247</v>
      </c>
      <c r="B78" s="1">
        <v>3.5979999999999999</v>
      </c>
      <c r="C78" s="1">
        <v>5.7160000000000002</v>
      </c>
      <c r="D78" s="1">
        <v>2.7360000000000002</v>
      </c>
    </row>
    <row r="79" spans="1:4" x14ac:dyDescent="0.35">
      <c r="A79" s="1" t="s">
        <v>248</v>
      </c>
      <c r="B79" s="1">
        <v>6.1840000000000002</v>
      </c>
      <c r="C79" s="1">
        <v>6.1749999999999998</v>
      </c>
      <c r="D79" s="1">
        <v>3.5409999999999999</v>
      </c>
    </row>
    <row r="80" spans="1:4" x14ac:dyDescent="0.35">
      <c r="A80" s="1" t="s">
        <v>249</v>
      </c>
      <c r="B80" s="1">
        <v>3.2919999999999998</v>
      </c>
      <c r="C80" s="1">
        <v>5.9409999999999998</v>
      </c>
      <c r="D80" s="1">
        <v>3.5840000000000001</v>
      </c>
    </row>
    <row r="81" spans="1:4" x14ac:dyDescent="0.35">
      <c r="A81" s="1" t="s">
        <v>250</v>
      </c>
      <c r="B81" s="1">
        <v>2.4289999999999998</v>
      </c>
      <c r="C81" s="1">
        <v>4.7789999999999999</v>
      </c>
      <c r="D81" s="1">
        <v>3.0760000000000001</v>
      </c>
    </row>
    <row r="82" spans="1:4" x14ac:dyDescent="0.35">
      <c r="A82" s="1" t="s">
        <v>251</v>
      </c>
      <c r="B82" s="1">
        <v>1.5269999999999999</v>
      </c>
      <c r="C82" s="1">
        <v>3.5960000000000001</v>
      </c>
      <c r="D82" s="1">
        <v>1.8480000000000001</v>
      </c>
    </row>
    <row r="83" spans="1:4" x14ac:dyDescent="0.35">
      <c r="A83" s="1" t="s">
        <v>252</v>
      </c>
      <c r="B83" s="1">
        <v>0.28000000000000003</v>
      </c>
      <c r="C83" s="1">
        <v>0.17599999999999999</v>
      </c>
      <c r="D83" s="1">
        <v>0.214</v>
      </c>
    </row>
    <row r="84" spans="1:4" x14ac:dyDescent="0.35">
      <c r="A84" s="1" t="s">
        <v>253</v>
      </c>
      <c r="B84" s="1">
        <v>1.387</v>
      </c>
      <c r="C84" s="1">
        <v>3.4140000000000001</v>
      </c>
      <c r="D84" s="1">
        <v>1.7669999999999999</v>
      </c>
    </row>
    <row r="85" spans="1:4" x14ac:dyDescent="0.35">
      <c r="A85" s="1" t="s">
        <v>254</v>
      </c>
      <c r="B85" s="1">
        <v>0.151</v>
      </c>
      <c r="C85" s="1">
        <v>0.107</v>
      </c>
      <c r="D85" s="1">
        <v>0.128</v>
      </c>
    </row>
    <row r="86" spans="1:4" x14ac:dyDescent="0.35">
      <c r="A86" s="1" t="s">
        <v>255</v>
      </c>
      <c r="B86" s="1">
        <v>2.8180000000000001</v>
      </c>
      <c r="C86" s="1">
        <v>3.6869999999999998</v>
      </c>
      <c r="D86" s="1">
        <v>2.1139999999999999</v>
      </c>
    </row>
    <row r="87" spans="1:4" x14ac:dyDescent="0.35">
      <c r="A87" s="1" t="s">
        <v>256</v>
      </c>
      <c r="B87" s="1">
        <v>0.188</v>
      </c>
      <c r="C87" s="1">
        <v>0.17</v>
      </c>
      <c r="D87" s="1">
        <v>0.23300000000000001</v>
      </c>
    </row>
    <row r="88" spans="1:4" x14ac:dyDescent="0.35">
      <c r="A88" s="1" t="s">
        <v>257</v>
      </c>
      <c r="B88" s="1">
        <v>1.9430000000000001</v>
      </c>
      <c r="C88" s="1">
        <v>4.5679999999999996</v>
      </c>
      <c r="D88" s="1">
        <v>2.3010000000000002</v>
      </c>
    </row>
    <row r="89" spans="1:4" x14ac:dyDescent="0.35">
      <c r="A89" s="1" t="s">
        <v>258</v>
      </c>
      <c r="B89" s="1">
        <v>0.17799999999999999</v>
      </c>
      <c r="C89" s="1">
        <v>0.17</v>
      </c>
      <c r="D89" s="1">
        <v>0.192</v>
      </c>
    </row>
    <row r="90" spans="1:4" x14ac:dyDescent="0.35">
      <c r="A90" s="1" t="s">
        <v>259</v>
      </c>
      <c r="B90" s="1">
        <v>2.21</v>
      </c>
      <c r="C90" s="1">
        <v>2.7879999999999998</v>
      </c>
      <c r="D90" s="1">
        <v>1.7989999999999999</v>
      </c>
    </row>
    <row r="91" spans="1:4" x14ac:dyDescent="0.35">
      <c r="A91" s="1" t="s">
        <v>260</v>
      </c>
      <c r="B91" s="1">
        <v>1.5940000000000001</v>
      </c>
      <c r="C91" s="1">
        <v>3.1</v>
      </c>
      <c r="D91" s="1">
        <v>1.7549999999999999</v>
      </c>
    </row>
    <row r="92" spans="1:4" x14ac:dyDescent="0.35">
      <c r="A92" s="1" t="s">
        <v>261</v>
      </c>
      <c r="B92" s="1">
        <v>1.5049999999999999</v>
      </c>
      <c r="C92" s="1">
        <v>3.6520000000000001</v>
      </c>
      <c r="D92" s="1">
        <v>1.8979999999999999</v>
      </c>
    </row>
    <row r="93" spans="1:4" x14ac:dyDescent="0.35">
      <c r="A93" s="1" t="s">
        <v>262</v>
      </c>
      <c r="B93" s="1">
        <v>0.252</v>
      </c>
      <c r="C93" s="1">
        <v>0.44</v>
      </c>
      <c r="D93" s="1">
        <v>0.51700000000000002</v>
      </c>
    </row>
    <row r="94" spans="1:4" x14ac:dyDescent="0.35">
      <c r="A94" s="1" t="s">
        <v>263</v>
      </c>
      <c r="B94" s="1">
        <v>1.823</v>
      </c>
      <c r="C94" s="1">
        <v>3.81</v>
      </c>
      <c r="D94" s="1">
        <v>2.129</v>
      </c>
    </row>
    <row r="95" spans="1:4" x14ac:dyDescent="0.35">
      <c r="A95" s="1" t="s">
        <v>264</v>
      </c>
      <c r="B95" s="1">
        <v>0.245</v>
      </c>
      <c r="C95" s="1">
        <v>0.42</v>
      </c>
      <c r="D95" s="1">
        <v>0.495</v>
      </c>
    </row>
    <row r="96" spans="1:4" x14ac:dyDescent="0.35">
      <c r="A96" s="1" t="s">
        <v>265</v>
      </c>
      <c r="B96" s="1">
        <v>1.69</v>
      </c>
      <c r="C96" s="1">
        <v>3.988</v>
      </c>
      <c r="D96" s="1">
        <v>2.23</v>
      </c>
    </row>
    <row r="97" spans="1:9" x14ac:dyDescent="0.35">
      <c r="A97" s="1" t="s">
        <v>266</v>
      </c>
      <c r="B97" s="1">
        <v>0.19900000000000001</v>
      </c>
      <c r="C97" s="1">
        <v>0.375</v>
      </c>
      <c r="D97" s="1">
        <v>0.439</v>
      </c>
    </row>
    <row r="98" spans="1:9" x14ac:dyDescent="0.35">
      <c r="A98" s="1" t="s">
        <v>267</v>
      </c>
      <c r="B98" s="1">
        <v>2.0939999999999999</v>
      </c>
      <c r="C98" s="1">
        <v>0.99199999999999999</v>
      </c>
      <c r="D98" s="1">
        <v>0.86499999999999999</v>
      </c>
    </row>
    <row r="99" spans="1:9" x14ac:dyDescent="0.35">
      <c r="A99" s="1" t="s">
        <v>268</v>
      </c>
      <c r="B99" s="1">
        <v>0.26800000000000002</v>
      </c>
      <c r="C99" s="1">
        <v>0.23</v>
      </c>
      <c r="D99" s="1">
        <v>0.32</v>
      </c>
      <c r="G99" s="18" t="s">
        <v>350</v>
      </c>
    </row>
    <row r="100" spans="1:9" x14ac:dyDescent="0.35">
      <c r="A100" s="1" t="s">
        <v>269</v>
      </c>
      <c r="B100" s="1">
        <v>1.9179999999999999</v>
      </c>
      <c r="C100" s="1">
        <v>3.7949999999999999</v>
      </c>
      <c r="D100" s="1">
        <v>2.161</v>
      </c>
      <c r="G100" s="16" t="s">
        <v>360</v>
      </c>
      <c r="H100" s="19" t="s">
        <v>351</v>
      </c>
      <c r="I100" s="16" t="s">
        <v>352</v>
      </c>
    </row>
    <row r="101" spans="1:9" x14ac:dyDescent="0.35">
      <c r="A101" s="1" t="s">
        <v>270</v>
      </c>
      <c r="B101" s="1">
        <v>0.13600000000000001</v>
      </c>
      <c r="C101" s="1">
        <v>0.111</v>
      </c>
      <c r="D101" s="1">
        <v>0.11899999999999999</v>
      </c>
      <c r="G101" s="20" t="s">
        <v>353</v>
      </c>
      <c r="H101" s="17">
        <v>8.3869999999999995E-4</v>
      </c>
      <c r="I101" s="17" t="s">
        <v>358</v>
      </c>
    </row>
    <row r="102" spans="1:9" x14ac:dyDescent="0.35">
      <c r="A102" s="1" t="s">
        <v>271</v>
      </c>
      <c r="B102" s="1">
        <v>1.389</v>
      </c>
      <c r="C102" s="1">
        <v>0.96099999999999997</v>
      </c>
      <c r="D102" s="1">
        <v>0.56000000000000005</v>
      </c>
      <c r="G102" s="14" t="s">
        <v>354</v>
      </c>
      <c r="H102" s="17" t="s">
        <v>356</v>
      </c>
      <c r="I102" s="17" t="s">
        <v>359</v>
      </c>
    </row>
    <row r="103" spans="1:9" x14ac:dyDescent="0.35">
      <c r="A103" s="1" t="s">
        <v>272</v>
      </c>
      <c r="B103" s="1">
        <v>1.7969999999999999</v>
      </c>
      <c r="C103" s="1">
        <v>1.56</v>
      </c>
      <c r="D103" s="1">
        <v>0.92</v>
      </c>
      <c r="G103" s="14" t="s">
        <v>355</v>
      </c>
      <c r="H103" s="17" t="s">
        <v>357</v>
      </c>
      <c r="I103" s="17" t="s">
        <v>359</v>
      </c>
    </row>
    <row r="104" spans="1:9" x14ac:dyDescent="0.35">
      <c r="A104" s="1" t="s">
        <v>273</v>
      </c>
      <c r="B104" s="1">
        <v>1.262</v>
      </c>
      <c r="C104" s="1">
        <v>0.95699999999999996</v>
      </c>
      <c r="D104" s="1">
        <v>0.55200000000000005</v>
      </c>
    </row>
    <row r="105" spans="1:9" x14ac:dyDescent="0.35">
      <c r="A105" s="1" t="s">
        <v>274</v>
      </c>
      <c r="B105" s="1">
        <v>7.0289999999999999</v>
      </c>
      <c r="C105" s="1">
        <v>1.536</v>
      </c>
      <c r="D105" s="1">
        <v>1.0680000000000001</v>
      </c>
    </row>
    <row r="106" spans="1:9" x14ac:dyDescent="0.35">
      <c r="A106" s="1" t="s">
        <v>275</v>
      </c>
      <c r="B106" s="1">
        <v>5.968</v>
      </c>
      <c r="C106" s="1">
        <v>1.3640000000000001</v>
      </c>
      <c r="D106" s="1">
        <v>0.67800000000000005</v>
      </c>
    </row>
    <row r="107" spans="1:9" x14ac:dyDescent="0.35">
      <c r="A107" s="1" t="s">
        <v>276</v>
      </c>
      <c r="B107" s="1">
        <v>4.0739999999999998</v>
      </c>
      <c r="C107" s="1">
        <v>1.623</v>
      </c>
      <c r="D107" s="1">
        <v>1.1180000000000001</v>
      </c>
    </row>
    <row r="108" spans="1:9" x14ac:dyDescent="0.35">
      <c r="A108" s="1" t="s">
        <v>277</v>
      </c>
      <c r="B108" s="1">
        <v>1.5169999999999999</v>
      </c>
      <c r="C108" s="1">
        <v>0.70299999999999996</v>
      </c>
      <c r="D108" s="1">
        <v>0.437</v>
      </c>
    </row>
    <row r="109" spans="1:9" x14ac:dyDescent="0.35">
      <c r="A109" s="1" t="s">
        <v>278</v>
      </c>
      <c r="B109" s="1">
        <v>3.1579999999999999</v>
      </c>
      <c r="C109" s="1">
        <v>1.903</v>
      </c>
      <c r="D109" s="1">
        <v>1.655</v>
      </c>
    </row>
    <row r="110" spans="1:9" x14ac:dyDescent="0.35">
      <c r="A110" s="1" t="s">
        <v>279</v>
      </c>
      <c r="B110" s="1">
        <v>2.5</v>
      </c>
      <c r="C110" s="1">
        <v>1.2210000000000001</v>
      </c>
      <c r="D110" s="1">
        <v>0.59199999999999997</v>
      </c>
    </row>
    <row r="111" spans="1:9" x14ac:dyDescent="0.35">
      <c r="A111" s="1" t="s">
        <v>280</v>
      </c>
      <c r="B111" s="1">
        <v>3.9390000000000001</v>
      </c>
      <c r="C111" s="1">
        <v>1.889</v>
      </c>
      <c r="D111" s="1">
        <v>1.1859999999999999</v>
      </c>
    </row>
    <row r="112" spans="1:9" x14ac:dyDescent="0.35">
      <c r="A112" s="1" t="s">
        <v>281</v>
      </c>
      <c r="B112" s="1">
        <v>11.468999999999999</v>
      </c>
      <c r="C112" s="1">
        <v>13.089</v>
      </c>
      <c r="D112" s="1">
        <v>7.1429999999999998</v>
      </c>
    </row>
    <row r="113" spans="1:4" x14ac:dyDescent="0.35">
      <c r="A113" s="1" t="s">
        <v>282</v>
      </c>
      <c r="B113" s="1">
        <v>2.0099999999999998</v>
      </c>
      <c r="C113" s="1">
        <v>3.75</v>
      </c>
      <c r="D113" s="1">
        <v>2.2149999999999999</v>
      </c>
    </row>
    <row r="114" spans="1:4" x14ac:dyDescent="0.35">
      <c r="A114" s="1" t="s">
        <v>283</v>
      </c>
      <c r="B114" s="1">
        <v>0.89900000000000002</v>
      </c>
      <c r="C114" s="1">
        <v>0.63500000000000001</v>
      </c>
      <c r="D114" s="1">
        <v>0.76500000000000001</v>
      </c>
    </row>
    <row r="115" spans="1:4" x14ac:dyDescent="0.35">
      <c r="A115" s="1" t="s">
        <v>284</v>
      </c>
      <c r="B115" s="1">
        <v>512.851</v>
      </c>
      <c r="C115" s="1">
        <v>10.584</v>
      </c>
      <c r="D115" s="1">
        <v>5.6630000000000003</v>
      </c>
    </row>
    <row r="116" spans="1:4" x14ac:dyDescent="0.35">
      <c r="A116" s="1" t="s">
        <v>285</v>
      </c>
      <c r="B116" s="1">
        <v>0.46700000000000003</v>
      </c>
      <c r="C116" s="1">
        <v>0.40799999999999997</v>
      </c>
      <c r="D116" s="1">
        <v>0.46500000000000002</v>
      </c>
    </row>
    <row r="117" spans="1:4" x14ac:dyDescent="0.35">
      <c r="A117" s="1" t="s">
        <v>286</v>
      </c>
      <c r="B117" s="1">
        <v>7.1130000000000004</v>
      </c>
      <c r="C117" s="1">
        <v>6.9560000000000004</v>
      </c>
      <c r="D117" s="1">
        <v>3.3090000000000002</v>
      </c>
    </row>
    <row r="118" spans="1:4" x14ac:dyDescent="0.35">
      <c r="A118" s="1" t="s">
        <v>287</v>
      </c>
      <c r="B118" s="1">
        <v>1.3959999999999999</v>
      </c>
      <c r="C118" s="1">
        <v>2.4449999999999998</v>
      </c>
      <c r="D118" s="1">
        <v>1.33</v>
      </c>
    </row>
    <row r="119" spans="1:4" x14ac:dyDescent="0.35">
      <c r="A119" s="1" t="s">
        <v>288</v>
      </c>
      <c r="B119" s="1">
        <v>7.9249999999999998</v>
      </c>
      <c r="C119" s="1">
        <v>0.95399999999999996</v>
      </c>
      <c r="D119" s="1">
        <v>0.55500000000000005</v>
      </c>
    </row>
    <row r="120" spans="1:4" x14ac:dyDescent="0.35">
      <c r="A120" s="1" t="s">
        <v>289</v>
      </c>
      <c r="B120" s="1">
        <v>0.53</v>
      </c>
      <c r="C120" s="1">
        <v>0.41</v>
      </c>
      <c r="D120" s="1">
        <v>0.52100000000000002</v>
      </c>
    </row>
    <row r="121" spans="1:4" x14ac:dyDescent="0.35">
      <c r="A121" s="1" t="s">
        <v>290</v>
      </c>
      <c r="B121" s="1">
        <v>1327.931</v>
      </c>
      <c r="C121" s="1">
        <v>11.023</v>
      </c>
      <c r="D121" s="1">
        <v>6.2729999999999997</v>
      </c>
    </row>
    <row r="122" spans="1:4" x14ac:dyDescent="0.35">
      <c r="A122" s="1" t="s">
        <v>291</v>
      </c>
      <c r="B122" s="1">
        <v>15.923</v>
      </c>
      <c r="C122" s="1">
        <v>4.556</v>
      </c>
      <c r="D122" s="1">
        <v>2.7480000000000002</v>
      </c>
    </row>
    <row r="123" spans="1:4" x14ac:dyDescent="0.35">
      <c r="A123" s="1" t="s">
        <v>292</v>
      </c>
      <c r="B123" s="1">
        <v>3.2120000000000002</v>
      </c>
      <c r="C123" s="1">
        <v>5.6219999999999999</v>
      </c>
      <c r="D123" s="1">
        <v>3.097</v>
      </c>
    </row>
    <row r="124" spans="1:4" x14ac:dyDescent="0.35">
      <c r="A124" s="1" t="s">
        <v>293</v>
      </c>
      <c r="B124" s="1">
        <v>137.91999999999999</v>
      </c>
      <c r="C124" s="1">
        <v>5.23</v>
      </c>
      <c r="D124" s="1">
        <v>2.5920000000000001</v>
      </c>
    </row>
    <row r="125" spans="1:4" x14ac:dyDescent="0.35">
      <c r="A125" s="1" t="s">
        <v>294</v>
      </c>
      <c r="B125" s="1">
        <v>137.101</v>
      </c>
      <c r="C125" s="1">
        <v>5.1680000000000001</v>
      </c>
      <c r="D125" s="1">
        <v>3.1259999999999999</v>
      </c>
    </row>
    <row r="126" spans="1:4" x14ac:dyDescent="0.35">
      <c r="A126" s="1" t="s">
        <v>295</v>
      </c>
      <c r="B126" s="1">
        <v>45.576000000000001</v>
      </c>
      <c r="C126" s="1">
        <v>6.0110000000000001</v>
      </c>
      <c r="D126" s="1">
        <v>3.1840000000000002</v>
      </c>
    </row>
    <row r="127" spans="1:4" x14ac:dyDescent="0.35">
      <c r="A127" s="1" t="s">
        <v>296</v>
      </c>
      <c r="B127" s="1">
        <v>100.464</v>
      </c>
      <c r="C127" s="1">
        <v>4.2859999999999996</v>
      </c>
      <c r="D127" s="1">
        <v>2.8410000000000002</v>
      </c>
    </row>
    <row r="128" spans="1:4" x14ac:dyDescent="0.35">
      <c r="A128" s="1" t="s">
        <v>297</v>
      </c>
      <c r="B128" s="1">
        <v>33.704000000000001</v>
      </c>
      <c r="C128" s="1">
        <v>1.387</v>
      </c>
      <c r="D128" s="1">
        <v>0.73099999999999998</v>
      </c>
    </row>
    <row r="129" spans="1:4" x14ac:dyDescent="0.35">
      <c r="A129" s="1" t="s">
        <v>298</v>
      </c>
      <c r="B129" s="1">
        <v>39.618000000000002</v>
      </c>
      <c r="C129" s="1">
        <v>2.516</v>
      </c>
      <c r="D129" s="1">
        <v>1.5309999999999999</v>
      </c>
    </row>
    <row r="130" spans="1:4" x14ac:dyDescent="0.35">
      <c r="A130" s="1" t="s">
        <v>299</v>
      </c>
      <c r="B130" s="1">
        <v>10.064</v>
      </c>
      <c r="C130" s="1">
        <v>3.3279999999999998</v>
      </c>
      <c r="D130" s="1">
        <v>1.849</v>
      </c>
    </row>
    <row r="131" spans="1:4" x14ac:dyDescent="0.35">
      <c r="A131" s="1" t="s">
        <v>300</v>
      </c>
      <c r="B131" s="1">
        <v>194.66200000000001</v>
      </c>
      <c r="C131" s="1">
        <v>6.53</v>
      </c>
      <c r="D131" s="1">
        <v>6.9859999999999998</v>
      </c>
    </row>
    <row r="132" spans="1:4" x14ac:dyDescent="0.35">
      <c r="A132" s="1" t="s">
        <v>301</v>
      </c>
      <c r="B132" s="1">
        <v>1.897</v>
      </c>
      <c r="C132" s="1">
        <v>3.0350000000000001</v>
      </c>
      <c r="D132" s="1">
        <v>1.819</v>
      </c>
    </row>
    <row r="133" spans="1:4" x14ac:dyDescent="0.35">
      <c r="A133" s="1" t="s">
        <v>302</v>
      </c>
      <c r="B133" s="1">
        <v>2.4049999999999998</v>
      </c>
      <c r="C133" s="1">
        <v>4.4989999999999997</v>
      </c>
      <c r="D133" s="1">
        <v>2.335</v>
      </c>
    </row>
    <row r="134" spans="1:4" x14ac:dyDescent="0.35">
      <c r="A134" s="1" t="s">
        <v>303</v>
      </c>
      <c r="B134" s="1">
        <v>91.677000000000007</v>
      </c>
      <c r="C134" s="1">
        <v>3.274</v>
      </c>
      <c r="D134" s="1">
        <v>2.214</v>
      </c>
    </row>
    <row r="135" spans="1:4" x14ac:dyDescent="0.35">
      <c r="A135" s="1" t="s">
        <v>304</v>
      </c>
      <c r="B135" s="1">
        <v>126.771</v>
      </c>
      <c r="C135" s="1">
        <v>9.7249999999999996</v>
      </c>
      <c r="D135" s="1">
        <v>5.4420000000000002</v>
      </c>
    </row>
    <row r="136" spans="1:4" x14ac:dyDescent="0.35">
      <c r="A136" s="1" t="s">
        <v>305</v>
      </c>
      <c r="B136" s="1">
        <v>26.78</v>
      </c>
      <c r="C136" s="1">
        <v>2.165</v>
      </c>
      <c r="D136" s="1">
        <v>1.33</v>
      </c>
    </row>
    <row r="137" spans="1:4" x14ac:dyDescent="0.35">
      <c r="A137" s="1" t="s">
        <v>306</v>
      </c>
      <c r="B137" s="1">
        <v>0.86899999999999999</v>
      </c>
      <c r="C137" s="1">
        <v>0.67700000000000005</v>
      </c>
      <c r="D137" s="1">
        <v>0.84499999999999997</v>
      </c>
    </row>
    <row r="138" spans="1:4" x14ac:dyDescent="0.35">
      <c r="A138" s="1" t="s">
        <v>307</v>
      </c>
      <c r="B138" s="1">
        <v>1.3420000000000001</v>
      </c>
      <c r="C138" s="1">
        <v>2.4580000000000002</v>
      </c>
      <c r="D138" s="1">
        <v>1.35</v>
      </c>
    </row>
    <row r="139" spans="1:4" x14ac:dyDescent="0.35">
      <c r="A139" s="1" t="s">
        <v>308</v>
      </c>
      <c r="B139" s="1">
        <v>28.245000000000001</v>
      </c>
      <c r="C139" s="1">
        <v>2.2429999999999999</v>
      </c>
      <c r="D139" s="1">
        <v>1.4370000000000001</v>
      </c>
    </row>
    <row r="140" spans="1:4" x14ac:dyDescent="0.35">
      <c r="A140" s="1" t="s">
        <v>309</v>
      </c>
      <c r="B140" s="1">
        <v>8.4689999999999994</v>
      </c>
      <c r="C140" s="1">
        <v>4.8789999999999996</v>
      </c>
      <c r="D140" s="1">
        <v>2.41</v>
      </c>
    </row>
    <row r="141" spans="1:4" x14ac:dyDescent="0.35">
      <c r="A141" s="1" t="s">
        <v>310</v>
      </c>
      <c r="B141" s="1">
        <v>1658.059</v>
      </c>
      <c r="C141" s="1">
        <v>15.625999999999999</v>
      </c>
      <c r="D141" s="1">
        <v>8.6259999999999994</v>
      </c>
    </row>
    <row r="142" spans="1:4" x14ac:dyDescent="0.35">
      <c r="A142" s="1" t="s">
        <v>311</v>
      </c>
      <c r="B142" s="1">
        <v>16.565000000000001</v>
      </c>
      <c r="C142" s="1">
        <v>6.04</v>
      </c>
      <c r="D142" s="1">
        <v>3.8079999999999998</v>
      </c>
    </row>
    <row r="143" spans="1:4" x14ac:dyDescent="0.35">
      <c r="A143" s="1" t="s">
        <v>312</v>
      </c>
      <c r="B143" s="1">
        <v>3.0539999999999998</v>
      </c>
      <c r="C143" s="1">
        <v>5.1109999999999998</v>
      </c>
      <c r="D143" s="1">
        <v>3.2130000000000001</v>
      </c>
    </row>
    <row r="144" spans="1:4" x14ac:dyDescent="0.35">
      <c r="A144" s="1" t="s">
        <v>313</v>
      </c>
      <c r="B144" s="1">
        <v>2.0470000000000002</v>
      </c>
      <c r="C144" s="1">
        <v>0.60099999999999998</v>
      </c>
      <c r="D144" s="1">
        <v>0.80400000000000005</v>
      </c>
    </row>
    <row r="145" spans="1:4" x14ac:dyDescent="0.35">
      <c r="A145" s="1" t="s">
        <v>314</v>
      </c>
      <c r="B145" s="1">
        <v>0.33200000000000002</v>
      </c>
      <c r="C145" s="1">
        <v>0.253</v>
      </c>
      <c r="D145" s="1">
        <v>0.29699999999999999</v>
      </c>
    </row>
    <row r="146" spans="1:4" x14ac:dyDescent="0.35">
      <c r="A146" s="1" t="s">
        <v>315</v>
      </c>
      <c r="B146" s="1">
        <v>72.298000000000002</v>
      </c>
      <c r="C146" s="1">
        <v>3.7759999999999998</v>
      </c>
      <c r="D146" s="1">
        <v>2.2109999999999999</v>
      </c>
    </row>
    <row r="147" spans="1:4" x14ac:dyDescent="0.35">
      <c r="A147" s="1" t="s">
        <v>316</v>
      </c>
      <c r="B147" s="1">
        <v>10.535</v>
      </c>
      <c r="C147" s="1">
        <v>3.3849999999999998</v>
      </c>
      <c r="D147" s="1">
        <v>1.9059999999999999</v>
      </c>
    </row>
    <row r="148" spans="1:4" x14ac:dyDescent="0.35">
      <c r="A148" s="1" t="s">
        <v>317</v>
      </c>
      <c r="B148" s="1">
        <v>90.768000000000001</v>
      </c>
      <c r="C148" s="1">
        <v>4.1829999999999998</v>
      </c>
      <c r="D148" s="1">
        <v>2.722</v>
      </c>
    </row>
    <row r="149" spans="1:4" x14ac:dyDescent="0.35">
      <c r="A149" s="1" t="s">
        <v>318</v>
      </c>
      <c r="B149" s="1">
        <v>0.42499999999999999</v>
      </c>
      <c r="C149" s="1">
        <v>0.47499999999999998</v>
      </c>
      <c r="D149" s="1">
        <v>0.72899999999999998</v>
      </c>
    </row>
    <row r="150" spans="1:4" x14ac:dyDescent="0.35">
      <c r="A150" s="1" t="s">
        <v>319</v>
      </c>
      <c r="B150" s="1">
        <v>12.08</v>
      </c>
      <c r="C150" s="1">
        <v>8.0670000000000002</v>
      </c>
      <c r="D150" s="1">
        <v>4.22</v>
      </c>
    </row>
    <row r="151" spans="1:4" x14ac:dyDescent="0.35">
      <c r="A151" s="1" t="s">
        <v>320</v>
      </c>
      <c r="B151" s="1">
        <v>166.67099999999999</v>
      </c>
      <c r="C151" s="1">
        <v>7.9480000000000004</v>
      </c>
      <c r="D151" s="1">
        <v>4.6689999999999996</v>
      </c>
    </row>
    <row r="152" spans="1:4" x14ac:dyDescent="0.35">
      <c r="A152" s="2" t="s">
        <v>321</v>
      </c>
      <c r="B152" s="2">
        <f>AVERAGE(B2:B151)</f>
        <v>45.166873333333335</v>
      </c>
      <c r="C152" s="2">
        <f t="shared" ref="C152:D152" si="18">AVERAGE(C2:C151)</f>
        <v>3.269453333333336</v>
      </c>
      <c r="D152" s="2">
        <f t="shared" si="18"/>
        <v>1.8684800000000004</v>
      </c>
    </row>
    <row r="153" spans="1:4" x14ac:dyDescent="0.35">
      <c r="A153" s="2" t="s">
        <v>322</v>
      </c>
      <c r="B153" s="2">
        <f>MEDIAN(B2:B151)</f>
        <v>2.4289999999999998</v>
      </c>
      <c r="C153" s="2">
        <f t="shared" ref="C153:D153" si="19">MEDIAN(C2:C151)</f>
        <v>2.7524999999999999</v>
      </c>
      <c r="D153" s="2">
        <f t="shared" si="19"/>
        <v>1.5194999999999999</v>
      </c>
    </row>
  </sheetData>
  <pageMargins left="0.7" right="0.7" top="0.75" bottom="0.75" header="0.3" footer="0.3"/>
  <ignoredErrors>
    <ignoredError sqref="H17:H18 H19:J19 I17:I18 J17:J1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rezultate_3nf_final</vt:lpstr>
      <vt:lpstr>Foaie2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ioana.ionel</cp:lastModifiedBy>
  <dcterms:created xsi:type="dcterms:W3CDTF">2026-06-18T14:10:15Z</dcterms:created>
  <dcterms:modified xsi:type="dcterms:W3CDTF">2026-07-01T10:45:08Z</dcterms:modified>
</cp:coreProperties>
</file>